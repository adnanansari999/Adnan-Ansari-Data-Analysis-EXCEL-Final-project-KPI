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qrar\Downloads\"/>
    </mc:Choice>
  </mc:AlternateContent>
  <xr:revisionPtr revIDLastSave="0" documentId="13_ncr:1_{2B813A8E-BB82-49D5-8373-5C2A93AA6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+ijccjK6hK/HNRsWTB4dRSvfcQkQss6IjKBN0Cxwrg="/>
    </ext>
  </extLst>
</workbook>
</file>

<file path=xl/calcChain.xml><?xml version="1.0" encoding="utf-8"?>
<calcChain xmlns="http://schemas.openxmlformats.org/spreadsheetml/2006/main">
  <c r="E5" i="1" l="1"/>
  <c r="C13" i="1" s="1" a="1"/>
  <c r="C13" i="1" s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G15" i="1" l="1" a="1"/>
  <c r="AG15" i="1" s="1"/>
  <c r="AJ11" i="1" a="1"/>
  <c r="AJ11" i="1" s="1"/>
  <c r="W14" i="1" a="1"/>
  <c r="W14" i="1" s="1"/>
  <c r="AR14" i="1" a="1"/>
  <c r="AR14" i="1" s="1"/>
  <c r="G11" i="1" a="1"/>
  <c r="G11" i="1" s="1"/>
  <c r="U15" i="1" a="1"/>
  <c r="U15" i="1" s="1"/>
  <c r="N13" i="1" a="1"/>
  <c r="N13" i="1" s="1"/>
  <c r="C14" i="1" a="1"/>
  <c r="C14" i="1" s="1"/>
  <c r="AR15" i="1" a="1"/>
  <c r="AR15" i="1" s="1"/>
  <c r="G14" i="1" a="1"/>
  <c r="G14" i="1" s="1"/>
  <c r="C15" i="1" a="1"/>
  <c r="C15" i="1" s="1"/>
  <c r="T15" i="1" a="1"/>
  <c r="T15" i="1" s="1"/>
  <c r="AI14" i="1" a="1"/>
  <c r="AI14" i="1" s="1"/>
  <c r="F14" i="1" a="1"/>
  <c r="F14" i="1" s="1"/>
  <c r="AE13" i="1" a="1"/>
  <c r="AE13" i="1" s="1"/>
  <c r="AC15" i="1" a="1"/>
  <c r="AC15" i="1" s="1"/>
  <c r="S14" i="1" a="1"/>
  <c r="S14" i="1" s="1"/>
  <c r="Y13" i="1" a="1"/>
  <c r="Y13" i="1" s="1"/>
  <c r="AC11" i="1" a="1"/>
  <c r="AC11" i="1" s="1"/>
  <c r="E11" i="1" a="1"/>
  <c r="E11" i="1" s="1"/>
  <c r="AJ14" i="1" a="1"/>
  <c r="AJ14" i="1" s="1"/>
  <c r="X11" i="1" a="1"/>
  <c r="X11" i="1" s="1"/>
  <c r="I13" i="1" a="1"/>
  <c r="I13" i="1" s="1"/>
  <c r="D11" i="1" a="1"/>
  <c r="D11" i="1" s="1"/>
  <c r="W11" i="1" a="1"/>
  <c r="W11" i="1" s="1"/>
  <c r="AQ15" i="1" a="1"/>
  <c r="AQ15" i="1" s="1"/>
  <c r="R15" i="1" a="1"/>
  <c r="R15" i="1" s="1"/>
  <c r="AG14" i="1" a="1"/>
  <c r="AG14" i="1" s="1"/>
  <c r="AQ13" i="1" a="1"/>
  <c r="AQ13" i="1" s="1"/>
  <c r="H13" i="1" a="1"/>
  <c r="H13" i="1" s="1"/>
  <c r="F13" i="1" a="1"/>
  <c r="F13" i="1" s="1"/>
  <c r="AO12" i="1" a="1"/>
  <c r="AO12" i="1" s="1"/>
  <c r="AP15" i="1" a="1"/>
  <c r="AP15" i="1" s="1"/>
  <c r="AB14" i="1" a="1"/>
  <c r="AB14" i="1" s="1"/>
  <c r="AL15" i="1" a="1"/>
  <c r="AL15" i="1" s="1"/>
  <c r="AP13" i="1" a="1"/>
  <c r="AP13" i="1" s="1"/>
  <c r="T11" i="1" a="1"/>
  <c r="T11" i="1" s="1"/>
  <c r="AN13" i="1" a="1"/>
  <c r="AN13" i="1" s="1"/>
  <c r="AN11" i="1" a="1"/>
  <c r="AN11" i="1" s="1"/>
  <c r="S11" i="1" a="1"/>
  <c r="S11" i="1" s="1"/>
  <c r="AK15" i="1" a="1"/>
  <c r="AK15" i="1" s="1"/>
  <c r="Z14" i="1" a="1"/>
  <c r="Z14" i="1" s="1"/>
  <c r="AH13" i="1" a="1"/>
  <c r="AH13" i="1" s="1"/>
  <c r="AL12" i="1" a="1"/>
  <c r="AL12" i="1" s="1"/>
  <c r="O11" i="1" a="1"/>
  <c r="O11" i="1" s="1"/>
  <c r="I15" i="1" a="1"/>
  <c r="I15" i="1" s="1"/>
  <c r="Z13" i="1" a="1"/>
  <c r="Z13" i="1" s="1"/>
  <c r="AF11" i="1" a="1"/>
  <c r="AF11" i="1" s="1"/>
  <c r="AB15" i="1" a="1"/>
  <c r="AB15" i="1" s="1"/>
  <c r="U11" i="1" a="1"/>
  <c r="U11" i="1" s="1"/>
  <c r="Q15" i="1" a="1"/>
  <c r="Q15" i="1" s="1"/>
  <c r="AO11" i="1" a="1"/>
  <c r="AO11" i="1" s="1"/>
  <c r="P15" i="1" a="1"/>
  <c r="P15" i="1" s="1"/>
  <c r="L15" i="1" a="1"/>
  <c r="L15" i="1" s="1"/>
  <c r="AA14" i="1" a="1"/>
  <c r="AA14" i="1" s="1"/>
  <c r="AL11" i="1" a="1"/>
  <c r="AL11" i="1" s="1"/>
  <c r="AI15" i="1" a="1"/>
  <c r="AI15" i="1" s="1"/>
  <c r="K15" i="1" a="1"/>
  <c r="K15" i="1" s="1"/>
  <c r="AK12" i="1" a="1"/>
  <c r="AK12" i="1" s="1"/>
  <c r="AG12" i="1" a="1"/>
  <c r="AG12" i="1" s="1"/>
  <c r="AF12" i="1" a="1"/>
  <c r="AF12" i="1" s="1"/>
  <c r="AD12" i="1" a="1"/>
  <c r="AD12" i="1" s="1"/>
  <c r="X12" i="1" a="1"/>
  <c r="X12" i="1" s="1"/>
  <c r="AK11" i="1" a="1"/>
  <c r="AK11" i="1" s="1"/>
  <c r="X14" i="1" a="1"/>
  <c r="X14" i="1" s="1"/>
  <c r="D15" i="1" a="1"/>
  <c r="D15" i="1" s="1"/>
  <c r="N11" i="1" a="1"/>
  <c r="N11" i="1" s="1"/>
  <c r="L11" i="1" a="1"/>
  <c r="L11" i="1" s="1"/>
  <c r="R14" i="1" a="1"/>
  <c r="R14" i="1" s="1"/>
  <c r="AA15" i="1" a="1"/>
  <c r="AA15" i="1" s="1"/>
  <c r="P14" i="1" a="1"/>
  <c r="P14" i="1" s="1"/>
  <c r="W13" i="1" a="1"/>
  <c r="W13" i="1" s="1"/>
  <c r="AE11" i="1" a="1"/>
  <c r="AE11" i="1" s="1"/>
  <c r="AO14" i="1" a="1"/>
  <c r="AO14" i="1" s="1"/>
  <c r="K14" i="1" a="1"/>
  <c r="K14" i="1" s="1"/>
  <c r="Q13" i="1" a="1"/>
  <c r="Q13" i="1" s="1"/>
  <c r="AD11" i="1" a="1"/>
  <c r="AD11" i="1" s="1"/>
  <c r="F11" i="1" a="1"/>
  <c r="F11" i="1" s="1"/>
  <c r="Z15" i="1" a="1"/>
  <c r="Z15" i="1" s="1"/>
  <c r="AN14" i="1" a="1"/>
  <c r="AN14" i="1" s="1"/>
  <c r="J14" i="1" a="1"/>
  <c r="J14" i="1" s="1"/>
  <c r="U12" i="1" a="1"/>
  <c r="U12" i="1" s="1"/>
  <c r="M12" i="1" a="1"/>
  <c r="M12" i="1" s="1"/>
  <c r="L12" i="1" a="1"/>
  <c r="L12" i="1" s="1"/>
  <c r="AB11" i="1" a="1"/>
  <c r="AB11" i="1" s="1"/>
  <c r="K11" i="1" a="1"/>
  <c r="K11" i="1" s="1"/>
  <c r="AH15" i="1" a="1"/>
  <c r="AH15" i="1" s="1"/>
  <c r="Y15" i="1" a="1"/>
  <c r="Y15" i="1" s="1"/>
  <c r="H15" i="1" a="1"/>
  <c r="H15" i="1" s="1"/>
  <c r="AF14" i="1" a="1"/>
  <c r="AF14" i="1" s="1"/>
  <c r="O14" i="1" a="1"/>
  <c r="O14" i="1" s="1"/>
  <c r="AM13" i="1" a="1"/>
  <c r="AM13" i="1" s="1"/>
  <c r="V13" i="1" a="1"/>
  <c r="V13" i="1" s="1"/>
  <c r="E13" i="1" a="1"/>
  <c r="E13" i="1" s="1"/>
  <c r="AC12" i="1" a="1"/>
  <c r="AC12" i="1" s="1"/>
  <c r="AC16" i="1" s="1"/>
  <c r="T12" i="1" a="1"/>
  <c r="T12" i="1" s="1"/>
  <c r="T16" i="1" s="1"/>
  <c r="K12" i="1" a="1"/>
  <c r="K12" i="1" s="1"/>
  <c r="AD13" i="1" a="1"/>
  <c r="AD13" i="1" s="1"/>
  <c r="M13" i="1" a="1"/>
  <c r="M13" i="1" s="1"/>
  <c r="AB12" i="1" a="1"/>
  <c r="AB12" i="1" s="1"/>
  <c r="AR11" i="1" a="1"/>
  <c r="AR11" i="1" s="1"/>
  <c r="AR16" i="1" s="1"/>
  <c r="AA11" i="1" a="1"/>
  <c r="AA11" i="1" s="1"/>
  <c r="J11" i="1" a="1"/>
  <c r="J11" i="1" s="1"/>
  <c r="AO15" i="1" a="1"/>
  <c r="AO15" i="1" s="1"/>
  <c r="X15" i="1" a="1"/>
  <c r="X15" i="1" s="1"/>
  <c r="G15" i="1" a="1"/>
  <c r="G15" i="1" s="1"/>
  <c r="AE14" i="1" a="1"/>
  <c r="AE14" i="1" s="1"/>
  <c r="N14" i="1" a="1"/>
  <c r="N14" i="1" s="1"/>
  <c r="AL13" i="1" a="1"/>
  <c r="AL13" i="1" s="1"/>
  <c r="AL16" i="1" s="1"/>
  <c r="U13" i="1" a="1"/>
  <c r="U13" i="1" s="1"/>
  <c r="U16" i="1" s="1"/>
  <c r="D13" i="1" a="1"/>
  <c r="D13" i="1" s="1"/>
  <c r="AJ12" i="1" a="1"/>
  <c r="AJ12" i="1" s="1"/>
  <c r="AJ16" i="1" s="1"/>
  <c r="S12" i="1" a="1"/>
  <c r="S12" i="1" s="1"/>
  <c r="J12" i="1" a="1"/>
  <c r="J12" i="1" s="1"/>
  <c r="AQ11" i="1" a="1"/>
  <c r="AQ11" i="1" s="1"/>
  <c r="Z11" i="1" a="1"/>
  <c r="Z11" i="1" s="1"/>
  <c r="I11" i="1" a="1"/>
  <c r="I11" i="1" s="1"/>
  <c r="AN15" i="1" a="1"/>
  <c r="AN15" i="1" s="1"/>
  <c r="W15" i="1" a="1"/>
  <c r="W15" i="1" s="1"/>
  <c r="F15" i="1" a="1"/>
  <c r="F15" i="1" s="1"/>
  <c r="AD14" i="1" a="1"/>
  <c r="AD14" i="1" s="1"/>
  <c r="M14" i="1" a="1"/>
  <c r="M14" i="1" s="1"/>
  <c r="AK13" i="1" a="1"/>
  <c r="AK13" i="1" s="1"/>
  <c r="T13" i="1" a="1"/>
  <c r="T13" i="1" s="1"/>
  <c r="K13" i="1" a="1"/>
  <c r="K13" i="1" s="1"/>
  <c r="AI12" i="1" a="1"/>
  <c r="AI12" i="1" s="1"/>
  <c r="R12" i="1" a="1"/>
  <c r="R12" i="1" s="1"/>
  <c r="AI11" i="1" a="1"/>
  <c r="AI11" i="1" s="1"/>
  <c r="AI16" i="1" s="1"/>
  <c r="AF15" i="1" a="1"/>
  <c r="AF15" i="1" s="1"/>
  <c r="AM14" i="1" a="1"/>
  <c r="AM14" i="1" s="1"/>
  <c r="AA12" i="1" a="1"/>
  <c r="AA12" i="1" s="1"/>
  <c r="AH11" i="1" a="1"/>
  <c r="AH11" i="1" s="1"/>
  <c r="Q11" i="1" a="1"/>
  <c r="Q11" i="1" s="1"/>
  <c r="AE15" i="1" a="1"/>
  <c r="AE15" i="1" s="1"/>
  <c r="N15" i="1" a="1"/>
  <c r="N15" i="1" s="1"/>
  <c r="AL14" i="1" a="1"/>
  <c r="AL14" i="1" s="1"/>
  <c r="U14" i="1" a="1"/>
  <c r="U14" i="1" s="1"/>
  <c r="D14" i="1" a="1"/>
  <c r="D14" i="1" s="1"/>
  <c r="AB13" i="1" a="1"/>
  <c r="AB13" i="1" s="1"/>
  <c r="S13" i="1" a="1"/>
  <c r="S13" i="1" s="1"/>
  <c r="AQ12" i="1" a="1"/>
  <c r="AQ12" i="1" s="1"/>
  <c r="Z12" i="1" a="1"/>
  <c r="Z12" i="1" s="1"/>
  <c r="Z16" i="1" s="1"/>
  <c r="I12" i="1" a="1"/>
  <c r="I12" i="1" s="1"/>
  <c r="I16" i="1" s="1"/>
  <c r="E14" i="1" a="1"/>
  <c r="E14" i="1" s="1"/>
  <c r="L13" i="1" a="1"/>
  <c r="L13" i="1" s="1"/>
  <c r="L16" i="1" s="1"/>
  <c r="AP11" i="1" a="1"/>
  <c r="AP11" i="1" s="1"/>
  <c r="Y11" i="1" a="1"/>
  <c r="Y11" i="1" s="1"/>
  <c r="H11" i="1" a="1"/>
  <c r="H11" i="1" s="1"/>
  <c r="AM15" i="1" a="1"/>
  <c r="AM15" i="1" s="1"/>
  <c r="V15" i="1" a="1"/>
  <c r="V15" i="1" s="1"/>
  <c r="E15" i="1" a="1"/>
  <c r="E15" i="1" s="1"/>
  <c r="AC14" i="1" a="1"/>
  <c r="AC14" i="1" s="1"/>
  <c r="L14" i="1" a="1"/>
  <c r="L14" i="1" s="1"/>
  <c r="AJ13" i="1" a="1"/>
  <c r="AJ13" i="1" s="1"/>
  <c r="AA13" i="1" a="1"/>
  <c r="AA13" i="1" s="1"/>
  <c r="J13" i="1" a="1"/>
  <c r="J13" i="1" s="1"/>
  <c r="AH12" i="1" a="1"/>
  <c r="AH12" i="1" s="1"/>
  <c r="AH16" i="1" s="1"/>
  <c r="Q12" i="1" a="1"/>
  <c r="Q12" i="1" s="1"/>
  <c r="R11" i="1" a="1"/>
  <c r="R11" i="1" s="1"/>
  <c r="O15" i="1" a="1"/>
  <c r="O15" i="1" s="1"/>
  <c r="V14" i="1" a="1"/>
  <c r="V14" i="1" s="1"/>
  <c r="AC13" i="1" a="1"/>
  <c r="AC13" i="1" s="1"/>
  <c r="AR12" i="1" a="1"/>
  <c r="AR12" i="1" s="1"/>
  <c r="AG11" i="1" a="1"/>
  <c r="AG11" i="1" s="1"/>
  <c r="P11" i="1" a="1"/>
  <c r="P11" i="1" s="1"/>
  <c r="AD15" i="1" a="1"/>
  <c r="AD15" i="1" s="1"/>
  <c r="M15" i="1" a="1"/>
  <c r="M15" i="1" s="1"/>
  <c r="AK14" i="1" a="1"/>
  <c r="AK14" i="1" s="1"/>
  <c r="T14" i="1" a="1"/>
  <c r="T14" i="1" s="1"/>
  <c r="AR13" i="1" a="1"/>
  <c r="AR13" i="1" s="1"/>
  <c r="AI13" i="1" a="1"/>
  <c r="AI13" i="1" s="1"/>
  <c r="R13" i="1" a="1"/>
  <c r="R13" i="1" s="1"/>
  <c r="AP12" i="1" a="1"/>
  <c r="AP12" i="1" s="1"/>
  <c r="Y12" i="1" a="1"/>
  <c r="Y12" i="1" s="1"/>
  <c r="Y16" i="1" s="1"/>
  <c r="H12" i="1" a="1"/>
  <c r="H12" i="1" s="1"/>
  <c r="H16" i="1" s="1"/>
  <c r="P12" i="1" a="1"/>
  <c r="P12" i="1" s="1"/>
  <c r="P16" i="1" s="1"/>
  <c r="G12" i="1" a="1"/>
  <c r="G12" i="1" s="1"/>
  <c r="O12" i="1" a="1"/>
  <c r="O12" i="1" s="1"/>
  <c r="F12" i="1" a="1"/>
  <c r="F12" i="1" s="1"/>
  <c r="I14" i="1" a="1"/>
  <c r="I14" i="1" s="1"/>
  <c r="AG13" i="1" a="1"/>
  <c r="AG13" i="1" s="1"/>
  <c r="AG16" i="1" s="1"/>
  <c r="P13" i="1" a="1"/>
  <c r="P13" i="1" s="1"/>
  <c r="AN12" i="1" a="1"/>
  <c r="AN12" i="1" s="1"/>
  <c r="W12" i="1" a="1"/>
  <c r="W12" i="1" s="1"/>
  <c r="AM11" i="1" a="1"/>
  <c r="AM11" i="1" s="1"/>
  <c r="V11" i="1" a="1"/>
  <c r="V11" i="1" s="1"/>
  <c r="M11" i="1" a="1"/>
  <c r="M11" i="1" s="1"/>
  <c r="M16" i="1" s="1"/>
  <c r="AJ15" i="1" a="1"/>
  <c r="AJ15" i="1" s="1"/>
  <c r="S15" i="1" a="1"/>
  <c r="S15" i="1" s="1"/>
  <c r="AQ14" i="1" a="1"/>
  <c r="AQ14" i="1" s="1"/>
  <c r="AQ16" i="1" s="1"/>
  <c r="AH14" i="1" a="1"/>
  <c r="AH14" i="1" s="1"/>
  <c r="Q14" i="1" a="1"/>
  <c r="Q14" i="1" s="1"/>
  <c r="AO13" i="1" a="1"/>
  <c r="AO13" i="1" s="1"/>
  <c r="X13" i="1" a="1"/>
  <c r="X13" i="1" s="1"/>
  <c r="G13" i="1" a="1"/>
  <c r="G13" i="1" s="1"/>
  <c r="AE12" i="1" a="1"/>
  <c r="AE12" i="1" s="1"/>
  <c r="N12" i="1" a="1"/>
  <c r="N12" i="1" s="1"/>
  <c r="J15" i="1" a="1"/>
  <c r="J15" i="1" s="1"/>
  <c r="AP14" i="1" a="1"/>
  <c r="AP14" i="1" s="1"/>
  <c r="Y14" i="1" a="1"/>
  <c r="Y14" i="1" s="1"/>
  <c r="H14" i="1" a="1"/>
  <c r="H14" i="1" s="1"/>
  <c r="AF13" i="1" a="1"/>
  <c r="AF13" i="1" s="1"/>
  <c r="O13" i="1" a="1"/>
  <c r="O13" i="1" s="1"/>
  <c r="AM12" i="1" a="1"/>
  <c r="AM12" i="1" s="1"/>
  <c r="AM16" i="1" s="1"/>
  <c r="V12" i="1" a="1"/>
  <c r="V12" i="1" s="1"/>
  <c r="E12" i="1" a="1"/>
  <c r="E12" i="1" s="1"/>
  <c r="E16" i="1" s="1"/>
  <c r="D12" i="1" a="1"/>
  <c r="D12" i="1" s="1"/>
  <c r="D16" i="1" s="1"/>
  <c r="G16" i="1"/>
  <c r="AN16" i="1"/>
  <c r="AB16" i="1"/>
  <c r="X16" i="1"/>
  <c r="C11" i="1" a="1"/>
  <c r="C11" i="1" s="1"/>
  <c r="C12" i="1" a="1"/>
  <c r="C12" i="1" s="1"/>
  <c r="D20" i="1"/>
  <c r="D18" i="1"/>
  <c r="D19" i="1"/>
  <c r="D21" i="1"/>
  <c r="R16" i="1" l="1"/>
  <c r="AP16" i="1"/>
  <c r="AF16" i="1"/>
  <c r="Q16" i="1"/>
  <c r="AO16" i="1"/>
  <c r="AK16" i="1"/>
  <c r="W16" i="1"/>
  <c r="C16" i="1"/>
  <c r="AE16" i="1"/>
  <c r="F16" i="1"/>
  <c r="A9" i="2" s="1"/>
  <c r="AD16" i="1"/>
  <c r="I25" i="2" s="1"/>
  <c r="S16" i="1"/>
  <c r="I7" i="2" s="1"/>
  <c r="K16" i="1"/>
  <c r="A25" i="2"/>
  <c r="O16" i="1"/>
  <c r="I9" i="2" s="1"/>
  <c r="V16" i="1"/>
  <c r="N16" i="1"/>
  <c r="A7" i="2"/>
  <c r="AA16" i="1"/>
  <c r="I23" i="2"/>
  <c r="I27" i="2" s="1"/>
  <c r="J16" i="1"/>
  <c r="A23" i="2"/>
  <c r="A11" i="2" l="1"/>
  <c r="A27" i="2"/>
  <c r="I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<sst xmlns="http://schemas.openxmlformats.org/spreadsheetml/2006/main" count="488" uniqueCount="67">
  <si>
    <t>Options:</t>
  </si>
  <si>
    <t>Q1 2024</t>
  </si>
  <si>
    <t>Q2 2024</t>
  </si>
  <si>
    <t>Q3 2024</t>
  </si>
  <si>
    <t>Q4 2024</t>
  </si>
  <si>
    <t>ACTIVE TABLE FOR SELECTED</t>
  </si>
  <si>
    <t>Q1</t>
  </si>
  <si>
    <t>October</t>
  </si>
  <si>
    <t>November</t>
  </si>
  <si>
    <t>December</t>
  </si>
  <si>
    <r>
      <rPr>
        <b/>
        <sz val="14"/>
        <color theme="1"/>
        <rFont val="Arial Black"/>
      </rPr>
      <t>Oc</t>
    </r>
    <r>
      <rPr>
        <sz val="14"/>
        <color theme="1"/>
        <rFont val="Arial Black"/>
      </rPr>
      <t>tob</t>
    </r>
    <r>
      <rPr>
        <b/>
        <sz val="14"/>
        <color theme="1"/>
        <rFont val="Arial Black"/>
      </rPr>
      <t>er</t>
    </r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</si>
  <si>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</si>
  <si>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</si>
  <si>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</si>
  <si>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</si>
  <si>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</si>
  <si>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</si>
  <si>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</si>
  <si>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</si>
  <si>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</si>
  <si>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</si>
  <si>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</si>
  <si>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</si>
  <si>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</si>
  <si>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</si>
  <si>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</si>
  <si>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</si>
  <si>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</si>
  <si>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</si>
  <si>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</si>
  <si>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</si>
  <si>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</si>
  <si>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</si>
  <si>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</si>
  <si>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</si>
  <si>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</si>
  <si>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</si>
  <si>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</si>
  <si>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</si>
  <si>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</si>
  <si>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</si>
  <si>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</si>
  <si>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</si>
  <si>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</si>
  <si>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</si>
  <si>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</si>
  <si>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</si>
  <si>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</si>
  <si>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</si>
  <si>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</si>
  <si>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</si>
  <si>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</si>
  <si>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</si>
  <si>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
Revenue</t>
  </si>
  <si>
    <t>Actual
New Customers</t>
  </si>
  <si>
    <t>Target
Revenue</t>
  </si>
  <si>
    <t>Target New Customers</t>
  </si>
  <si>
    <t>Target
Achievement</t>
  </si>
  <si>
    <t>Average Revenue Per Year</t>
  </si>
  <si>
    <t>Customer Acquisition costs per year</t>
  </si>
  <si>
    <t xml:space="preserve">Avg. Revenue per Customer </t>
  </si>
  <si>
    <t>Customer Acquisition Cost</t>
  </si>
  <si>
    <t>Actual
Revenue Per Customer</t>
  </si>
  <si>
    <t>Actual
CAC</t>
  </si>
  <si>
    <t>Target Revnue Per Customer</t>
  </si>
  <si>
    <t>Target
CAC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</si>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</sst>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&quot;$&quot;#,##0;[Red]&quot;$&quot;#,##0"/>
  </numFmts>
  <fonts count="2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Bahnschrift"/>
    </font>
    <font>
      <b/>
      <sz val="14"/>
      <color theme="1"/>
      <name val="Bahnschrift"/>
    </font>
    <font>
      <sz val="18"/>
      <color theme="1"/>
      <name val="Bahnschrift"/>
    </font>
    <font>
      <sz val="18"/>
      <color rgb="FF7ED2DB"/>
      <name val="Bahnschrift"/>
    </font>
    <font>
      <b/>
      <sz val="18"/>
      <color theme="1"/>
      <name val="Bahnschrift"/>
    </font>
    <font>
      <sz val="11"/>
      <name val="Calibri"/>
    </font>
    <font>
      <sz val="14"/>
      <color rgb="FF0070C0"/>
      <name val="Arial Black"/>
    </font>
    <font>
      <b/>
      <sz val="14"/>
      <color theme="1"/>
      <name val="Arial Black"/>
    </font>
    <font>
      <b/>
      <sz val="14"/>
      <color rgb="FF0070C0"/>
      <name val="Arial Black"/>
    </font>
    <font>
      <sz val="14"/>
      <color theme="1"/>
      <name val="Calibri"/>
    </font>
    <font>
      <sz val="14"/>
      <color theme="1"/>
      <name val="Bahnschrift"/>
    </font>
    <font>
      <sz val="16"/>
      <color theme="1"/>
      <name val="Calibri"/>
    </font>
    <font>
      <sz val="16"/>
      <color theme="1"/>
      <name val="Bahnschrift"/>
    </font>
    <font>
      <b/>
      <sz val="11"/>
      <color theme="1"/>
      <name val="Bahnschrift"/>
    </font>
    <font>
      <sz val="22"/>
      <color theme="1"/>
      <name val="Bahnschrift"/>
    </font>
    <font>
      <sz val="22"/>
      <color rgb="FF000000"/>
      <name val="Arial"/>
    </font>
    <font>
      <b/>
      <sz val="14"/>
      <color theme="1"/>
      <name val="Calibri"/>
    </font>
    <font>
      <b/>
      <sz val="11"/>
      <color rgb="FF595959"/>
      <name val="Bahnschrift"/>
    </font>
    <font>
      <sz val="16"/>
      <color rgb="FF595959"/>
      <name val="Bahnschrift"/>
    </font>
    <font>
      <b/>
      <sz val="10"/>
      <color rgb="FF595959"/>
      <name val="Bahnschrift"/>
    </font>
    <font>
      <sz val="10"/>
      <color theme="1"/>
      <name val="Calibri"/>
    </font>
    <font>
      <sz val="14"/>
      <color theme="1"/>
      <name val="Arial Black"/>
    </font>
  </fonts>
  <fills count="12">
    <fill>
      <patternFill patternType="none"/>
    </fill>
    <fill>
      <patternFill patternType="gray125"/>
    </fill>
    <fill>
      <patternFill patternType="solid">
        <fgColor rgb="FF7ED2DB"/>
        <bgColor rgb="FF7ED2DB"/>
      </patternFill>
    </fill>
    <fill>
      <patternFill patternType="solid">
        <fgColor rgb="FFF2F2F2"/>
        <bgColor rgb="FFF2F2F2"/>
      </patternFill>
    </fill>
    <fill>
      <patternFill patternType="solid">
        <fgColor rgb="FFDF726E"/>
        <bgColor rgb="FFDF726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11" xfId="0" applyNumberFormat="1" applyFont="1" applyFill="1" applyBorder="1" applyAlignment="1">
      <alignment horizontal="center" vertical="center" wrapText="1"/>
    </xf>
    <xf numFmtId="164" fontId="9" fillId="2" borderId="12" xfId="0" applyNumberFormat="1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164" fontId="9" fillId="2" borderId="14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9" fillId="2" borderId="15" xfId="0" applyNumberFormat="1" applyFont="1" applyFill="1" applyBorder="1" applyAlignment="1">
      <alignment horizontal="center" vertical="center" wrapText="1"/>
    </xf>
    <xf numFmtId="164" fontId="9" fillId="2" borderId="16" xfId="0" applyNumberFormat="1" applyFont="1" applyFill="1" applyBorder="1" applyAlignment="1">
      <alignment horizontal="center" vertical="center" wrapText="1"/>
    </xf>
    <xf numFmtId="164" fontId="9" fillId="2" borderId="17" xfId="0" applyNumberFormat="1" applyFont="1" applyFill="1" applyBorder="1" applyAlignment="1">
      <alignment horizontal="center" vertical="center" wrapText="1"/>
    </xf>
    <xf numFmtId="164" fontId="9" fillId="2" borderId="18" xfId="0" applyNumberFormat="1" applyFont="1" applyFill="1" applyBorder="1" applyAlignment="1">
      <alignment horizontal="center" vertical="center" wrapText="1"/>
    </xf>
    <xf numFmtId="164" fontId="9" fillId="2" borderId="19" xfId="0" applyNumberFormat="1" applyFont="1" applyFill="1" applyBorder="1" applyAlignment="1">
      <alignment horizontal="center" vertical="center" wrapText="1"/>
    </xf>
    <xf numFmtId="164" fontId="9" fillId="2" borderId="20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165" fontId="12" fillId="3" borderId="14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vertical="center" wrapText="1"/>
    </xf>
    <xf numFmtId="165" fontId="3" fillId="2" borderId="22" xfId="0" applyNumberFormat="1" applyFont="1" applyFill="1" applyBorder="1" applyAlignment="1">
      <alignment horizontal="center" vertical="center" wrapText="1"/>
    </xf>
    <xf numFmtId="165" fontId="3" fillId="2" borderId="23" xfId="0" applyNumberFormat="1" applyFont="1" applyFill="1" applyBorder="1" applyAlignment="1">
      <alignment horizontal="center" vertical="center" wrapText="1"/>
    </xf>
    <xf numFmtId="165" fontId="3" fillId="2" borderId="24" xfId="0" applyNumberFormat="1" applyFont="1" applyFill="1" applyBorder="1" applyAlignment="1">
      <alignment horizontal="center" vertical="center" wrapText="1"/>
    </xf>
    <xf numFmtId="165" fontId="3" fillId="2" borderId="25" xfId="0" applyNumberFormat="1" applyFont="1" applyFill="1" applyBorder="1" applyAlignment="1">
      <alignment horizontal="center" vertical="center" wrapText="1"/>
    </xf>
    <xf numFmtId="165" fontId="3" fillId="2" borderId="26" xfId="0" applyNumberFormat="1" applyFont="1" applyFill="1" applyBorder="1" applyAlignment="1">
      <alignment horizontal="center" vertical="center" wrapText="1"/>
    </xf>
    <xf numFmtId="165" fontId="3" fillId="2" borderId="27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164" fontId="3" fillId="2" borderId="26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4" borderId="30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/>
    <xf numFmtId="0" fontId="17" fillId="0" borderId="0" xfId="0" applyFont="1"/>
    <xf numFmtId="0" fontId="1" fillId="9" borderId="6" xfId="0" applyFont="1" applyFill="1" applyBorder="1" applyAlignment="1">
      <alignment vertical="center" wrapText="1"/>
    </xf>
    <xf numFmtId="0" fontId="1" fillId="9" borderId="6" xfId="0" applyFont="1" applyFill="1" applyBorder="1"/>
    <xf numFmtId="0" fontId="19" fillId="9" borderId="6" xfId="0" applyFont="1" applyFill="1" applyBorder="1" applyAlignment="1">
      <alignment vertical="center"/>
    </xf>
    <xf numFmtId="165" fontId="20" fillId="9" borderId="6" xfId="0" applyNumberFormat="1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vertical="center" wrapText="1"/>
    </xf>
    <xf numFmtId="166" fontId="20" fillId="9" borderId="6" xfId="0" applyNumberFormat="1" applyFont="1" applyFill="1" applyBorder="1" applyAlignment="1">
      <alignment horizontal="right" vertical="center" wrapText="1"/>
    </xf>
    <xf numFmtId="9" fontId="20" fillId="9" borderId="6" xfId="0" applyNumberFormat="1" applyFont="1" applyFill="1" applyBorder="1" applyAlignment="1">
      <alignment horizontal="right" vertical="center" wrapText="1"/>
    </xf>
    <xf numFmtId="0" fontId="22" fillId="9" borderId="6" xfId="0" applyFont="1" applyFill="1" applyBorder="1"/>
    <xf numFmtId="165" fontId="19" fillId="9" borderId="6" xfId="0" applyNumberFormat="1" applyFont="1" applyFill="1" applyBorder="1" applyAlignment="1">
      <alignment horizontal="right" vertical="center" wrapText="1"/>
    </xf>
    <xf numFmtId="0" fontId="19" fillId="9" borderId="6" xfId="0" applyFont="1" applyFill="1" applyBorder="1" applyAlignment="1">
      <alignment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7" fillId="0" borderId="35" xfId="0" applyFont="1" applyBorder="1"/>
    <xf numFmtId="0" fontId="7" fillId="0" borderId="36" xfId="0" applyFont="1" applyBorder="1"/>
    <xf numFmtId="0" fontId="18" fillId="7" borderId="37" xfId="0" applyFont="1" applyFill="1" applyBorder="1" applyAlignment="1">
      <alignment horizontal="center" vertical="center"/>
    </xf>
    <xf numFmtId="0" fontId="7" fillId="0" borderId="38" xfId="0" applyFont="1" applyBorder="1"/>
    <xf numFmtId="0" fontId="7" fillId="0" borderId="39" xfId="0" applyFont="1" applyBorder="1"/>
    <xf numFmtId="0" fontId="18" fillId="8" borderId="37" xfId="0" applyFont="1" applyFill="1" applyBorder="1" applyAlignment="1">
      <alignment horizontal="center" vertical="center"/>
    </xf>
    <xf numFmtId="0" fontId="18" fillId="10" borderId="40" xfId="0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2" xfId="0" applyFont="1" applyBorder="1"/>
    <xf numFmtId="0" fontId="7" fillId="0" borderId="43" xfId="0" applyFont="1" applyBorder="1"/>
    <xf numFmtId="0" fontId="7" fillId="0" borderId="44" xfId="0" applyFont="1" applyBorder="1"/>
    <xf numFmtId="0" fontId="7" fillId="0" borderId="45" xfId="0" applyFont="1" applyBorder="1"/>
    <xf numFmtId="0" fontId="18" fillId="11" borderId="40" xfId="0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6" fillId="4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7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1995305164319248"/>
          <c:y val="5.5E-2"/>
        </c:manualLayout>
      </c:layout>
      <c:overlay val="0"/>
    </c:title>
    <c:autoTitleDeleted val="0"/>
    <c:plotArea>
      <c:layout>
        <c:manualLayout>
          <c:xMode val="edge"/>
          <c:yMode val="edge"/>
          <c:x val="0.18605280683198183"/>
          <c:y val="0.12076965731396251"/>
          <c:w val="0.77208552055992996"/>
          <c:h val="0.6976607304404910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DATA!$C$16:$E$16</c:f>
              <c:numCache>
                <c:formatCode>"$"#,##0_);[Red]\("$"#,##0\)</c:formatCode>
                <c:ptCount val="3"/>
                <c:pt idx="0">
                  <c:v>780000</c:v>
                </c:pt>
                <c:pt idx="1">
                  <c:v>745000</c:v>
                </c:pt>
                <c:pt idx="2">
                  <c:v>760000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F2-42A9-BE4D-33B35BD07E80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DATA!$F$16:$H$16</c:f>
              <c:numCache>
                <c:formatCode>"$"#,##0_);[Red]\("$"#,##0\)</c:formatCode>
                <c:ptCount val="3"/>
                <c:pt idx="0">
                  <c:v>800000</c:v>
                </c:pt>
                <c:pt idx="1">
                  <c:v>725000</c:v>
                </c:pt>
                <c:pt idx="2">
                  <c:v>800000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F2-42A9-BE4D-33B35BD07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55855"/>
        <c:axId val="1726434787"/>
      </c:barChart>
      <c:catAx>
        <c:axId val="42955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6434787"/>
        <c:crosses val="autoZero"/>
        <c:auto val="1"/>
        <c:lblAlgn val="ctr"/>
        <c:lblOffset val="100"/>
        <c:noMultiLvlLbl val="1"/>
      </c:catAx>
      <c:valAx>
        <c:axId val="1726434787"/>
        <c:scaling>
          <c:orientation val="minMax"/>
          <c:max val="1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 rot="-6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9558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600" b="1" i="0">
                <a:solidFill>
                  <a:srgbClr val="757575"/>
                </a:solidFill>
                <a:latin typeface="+mn-lt"/>
              </a:rPr>
              <a:t>New Cumstomers compared to previous
</a:t>
            </a:r>
          </a:p>
        </c:rich>
      </c:tx>
      <c:layout>
        <c:manualLayout>
          <c:xMode val="edge"/>
          <c:yMode val="edge"/>
          <c:x val="0.21365314629788923"/>
          <c:y val="9.0808742365148295E-3"/>
        </c:manualLayout>
      </c:layout>
      <c:overlay val="0"/>
    </c:title>
    <c:autoTitleDeleted val="0"/>
    <c:plotArea>
      <c:layout>
        <c:manualLayout>
          <c:xMode val="edge"/>
          <c:yMode val="edge"/>
          <c:x val="0.11531714785651793"/>
          <c:y val="7.407407407407407E-2"/>
          <c:w val="0.84023840769903757"/>
          <c:h val="0.7474291706527338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DATA!$R$16:$T$16</c:f>
              <c:numCache>
                <c:formatCode>"$"#,##0.00_);[Red]\("$"#,##0.00\)</c:formatCode>
                <c:ptCount val="3"/>
                <c:pt idx="0">
                  <c:v>102</c:v>
                </c:pt>
                <c:pt idx="1">
                  <c:v>100</c:v>
                </c:pt>
                <c:pt idx="2">
                  <c:v>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06-4BEC-9A10-C7CE20D7F25A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DATA!$U$16:$W$16</c:f>
              <c:numCache>
                <c:formatCode>"$"#,##0.00_);[Red]\("$"#,##0.00\)</c:formatCode>
                <c:ptCount val="3"/>
                <c:pt idx="0">
                  <c:v>102</c:v>
                </c:pt>
                <c:pt idx="1">
                  <c:v>91</c:v>
                </c:pt>
                <c:pt idx="2">
                  <c:v>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06-4BEC-9A10-C7CE20D7F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7569887"/>
        <c:axId val="1153895674"/>
      </c:barChart>
      <c:catAx>
        <c:axId val="1847569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3895674"/>
        <c:crosses val="autoZero"/>
        <c:auto val="1"/>
        <c:lblAlgn val="ctr"/>
        <c:lblOffset val="100"/>
        <c:noMultiLvlLbl val="1"/>
      </c:catAx>
      <c:valAx>
        <c:axId val="1153895674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75698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757575"/>
                </a:solidFill>
                <a:latin typeface="+mn-lt"/>
              </a:defRPr>
            </a:pPr>
            <a:r>
              <a:rPr lang="en-IN" sz="1200" b="0" i="0">
                <a:solidFill>
                  <a:srgbClr val="757575"/>
                </a:solidFill>
                <a:latin typeface="+mn-lt"/>
              </a:rPr>
              <a:t>Average Revenue Per Cust. compared to
 previous  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699177024158537"/>
          <c:y val="0.18191634136153334"/>
          <c:w val="0.79538561073604341"/>
          <c:h val="0.59937988971495193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DATA!$AJ$16:$AL$16</c:f>
              <c:numCache>
                <c:formatCode>"$"#,##0.00_);[Red]\("$"#,##0.00\)</c:formatCode>
                <c:ptCount val="3"/>
                <c:pt idx="0">
                  <c:v>2709.0160000000001</c:v>
                </c:pt>
                <c:pt idx="1">
                  <c:v>2854.7080000000001</c:v>
                </c:pt>
                <c:pt idx="2">
                  <c:v>2571.576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A4-4B1A-B658-CFDE583E363C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DATA!$AM$16:$AO$16</c:f>
              <c:numCache>
                <c:formatCode>"$"#,##0.00_);[Red]\("$"#,##0.00\)</c:formatCode>
                <c:ptCount val="3"/>
                <c:pt idx="0">
                  <c:v>2440</c:v>
                </c:pt>
                <c:pt idx="1">
                  <c:v>2620</c:v>
                </c:pt>
                <c:pt idx="2">
                  <c:v>2298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EA4-4B1A-B658-CFDE583E3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1950897"/>
        <c:axId val="1458556481"/>
      </c:barChart>
      <c:catAx>
        <c:axId val="1471950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8556481"/>
        <c:crosses val="autoZero"/>
        <c:auto val="1"/>
        <c:lblAlgn val="ctr"/>
        <c:lblOffset val="100"/>
        <c:noMultiLvlLbl val="1"/>
      </c:catAx>
      <c:valAx>
        <c:axId val="1458556481"/>
        <c:scaling>
          <c:orientation val="minMax"/>
          <c:max val="40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1950897"/>
        <c:crosses val="autoZero"/>
        <c:crossBetween val="between"/>
        <c:majorUnit val="1000"/>
      </c:valAx>
    </c:plotArea>
    <c:legend>
      <c:legendPos val="r"/>
      <c:layout>
        <c:manualLayout>
          <c:xMode val="edge"/>
          <c:yMode val="edge"/>
          <c:x val="0.18356329474072891"/>
          <c:y val="0.84815486993345435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Customer Acquisition costs comp. to prev.year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738135839135978"/>
          <c:y val="0.12639535828228213"/>
          <c:w val="0.84025644738637539"/>
          <c:h val="0.6880901516327362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DATA!$AA$16:$AC$16</c:f>
              <c:numCache>
                <c:formatCode>"$"#,##0.00_);[Red]\("$"#,##0.00\)</c:formatCode>
                <c:ptCount val="3"/>
                <c:pt idx="0">
                  <c:v>393.82</c:v>
                </c:pt>
                <c:pt idx="1">
                  <c:v>363.63599999999997</c:v>
                </c:pt>
                <c:pt idx="2">
                  <c:v>328.68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E4-4641-9B2B-75978E2804A0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DATA!$AG$16:$AI$16</c:f>
              <c:numCache>
                <c:formatCode>"$"#,##0.00_);[Red]\("$"#,##0.00\)</c:formatCode>
                <c:ptCount val="3"/>
                <c:pt idx="0">
                  <c:v>387</c:v>
                </c:pt>
                <c:pt idx="1">
                  <c:v>371</c:v>
                </c:pt>
                <c:pt idx="2">
                  <c:v>378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EE4-4641-9B2B-75978E280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299445"/>
        <c:axId val="1987295265"/>
      </c:barChart>
      <c:catAx>
        <c:axId val="439299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295265"/>
        <c:crosses val="autoZero"/>
        <c:auto val="1"/>
        <c:lblAlgn val="ctr"/>
        <c:lblOffset val="100"/>
        <c:noMultiLvlLbl val="1"/>
      </c:catAx>
      <c:valAx>
        <c:axId val="1987295265"/>
        <c:scaling>
          <c:orientation val="minMax"/>
          <c:max val="6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9299445"/>
        <c:crosses val="autoZero"/>
        <c:crossBetween val="between"/>
        <c:majorUnit val="100"/>
        <c:minorUnit val="2"/>
      </c:valAx>
    </c:plotArea>
    <c:legend>
      <c:legendPos val="r"/>
      <c:layout>
        <c:manualLayout>
          <c:xMode val="edge"/>
          <c:yMode val="edge"/>
          <c:x val="0.26578902269569249"/>
          <c:y val="0.91467542590873918"/>
        </c:manualLayout>
      </c:layout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1333500</xdr:colOff>
      <xdr:row>3</xdr:row>
      <xdr:rowOff>123825</xdr:rowOff>
    </xdr:from>
    <xdr:ext cx="3857625" cy="2733675"/>
    <xdr:graphicFrame macro="">
      <xdr:nvGraphicFramePr>
        <xdr:cNvPr id="440490215" name="Chart 1" descr="vdfv&#10;">
          <a:extLst>
            <a:ext uri="{FF2B5EF4-FFF2-40B4-BE49-F238E27FC236}">
              <a16:creationId xmlns:a16="http://schemas.microsoft.com/office/drawing/2014/main" id="{00000000-0008-0000-0100-0000E7584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1181100</xdr:colOff>
      <xdr:row>3</xdr:row>
      <xdr:rowOff>76200</xdr:rowOff>
    </xdr:from>
    <xdr:ext cx="3743325" cy="2790825"/>
    <xdr:graphicFrame macro="">
      <xdr:nvGraphicFramePr>
        <xdr:cNvPr id="1944029326" name="Chart 2">
          <a:extLst>
            <a:ext uri="{FF2B5EF4-FFF2-40B4-BE49-F238E27FC236}">
              <a16:creationId xmlns:a16="http://schemas.microsoft.com/office/drawing/2014/main" id="{00000000-0008-0000-0100-00008E88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1333500</xdr:colOff>
      <xdr:row>19</xdr:row>
      <xdr:rowOff>76200</xdr:rowOff>
    </xdr:from>
    <xdr:ext cx="3848100" cy="2952750"/>
    <xdr:graphicFrame macro="">
      <xdr:nvGraphicFramePr>
        <xdr:cNvPr id="653455794" name="Chart 3">
          <a:extLst>
            <a:ext uri="{FF2B5EF4-FFF2-40B4-BE49-F238E27FC236}">
              <a16:creationId xmlns:a16="http://schemas.microsoft.com/office/drawing/2014/main" id="{00000000-0008-0000-0100-0000B2F1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95250</xdr:rowOff>
    </xdr:from>
    <xdr:ext cx="3790950" cy="2905125"/>
    <xdr:graphicFrame macro="">
      <xdr:nvGraphicFramePr>
        <xdr:cNvPr id="135739941" name="Chart 4">
          <a:extLst>
            <a:ext uri="{FF2B5EF4-FFF2-40B4-BE49-F238E27FC236}">
              <a16:creationId xmlns:a16="http://schemas.microsoft.com/office/drawing/2014/main" id="{00000000-0008-0000-0100-0000253A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68"/>
  <sheetViews>
    <sheetView tabSelected="1" topLeftCell="A9" workbookViewId="0">
      <selection activeCell="B18" sqref="B18:B21"/>
    </sheetView>
  </sheetViews>
  <sheetFormatPr defaultColWidth="14.44140625" defaultRowHeight="14.4"/>
  <cols>
    <col min="1" max="1" width="8.6640625" customWidth="1"/>
    <col min="2" max="2" width="47.44140625" bestFit="1" customWidth="1"/>
    <col min="3" max="3" width="16.6640625" bestFit="1" customWidth="1"/>
    <col min="4" max="4" width="20" bestFit="1" customWidth="1"/>
    <col min="5" max="5" width="16.5546875" bestFit="1" customWidth="1"/>
    <col min="6" max="8" width="16.6640625" bestFit="1" customWidth="1"/>
    <col min="9" max="11" width="16.5546875" bestFit="1" customWidth="1"/>
    <col min="12" max="14" width="16.21875" bestFit="1" customWidth="1"/>
    <col min="15" max="17" width="23.5546875" bestFit="1" customWidth="1"/>
    <col min="18" max="20" width="16.21875" bestFit="1" customWidth="1"/>
    <col min="21" max="23" width="23.5546875" bestFit="1" customWidth="1"/>
    <col min="24" max="24" width="17" bestFit="1" customWidth="1"/>
    <col min="25" max="26" width="14.6640625" bestFit="1" customWidth="1"/>
    <col min="27" max="29" width="15.33203125" bestFit="1" customWidth="1"/>
    <col min="30" max="32" width="21.88671875" bestFit="1" customWidth="1"/>
    <col min="33" max="35" width="24.44140625" bestFit="1" customWidth="1"/>
    <col min="36" max="36" width="14.6640625" bestFit="1" customWidth="1"/>
    <col min="37" max="38" width="15.33203125" bestFit="1" customWidth="1"/>
    <col min="39" max="41" width="18.6640625" bestFit="1" customWidth="1"/>
    <col min="42" max="44" width="20.109375" bestFit="1" customWidth="1"/>
  </cols>
  <sheetData>
    <row r="1" spans="1:44" ht="17.399999999999999">
      <c r="A1" s="1"/>
      <c r="B1" s="1"/>
      <c r="C1" s="1"/>
      <c r="D1" s="1"/>
      <c r="E1" s="1"/>
      <c r="F1" s="1"/>
      <c r="G1" s="2" t="s">
        <v>0</v>
      </c>
      <c r="H1" s="3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7.399999999999999">
      <c r="A2" s="1"/>
      <c r="B2" s="1"/>
      <c r="C2" s="1"/>
      <c r="D2" s="1"/>
      <c r="E2" s="1"/>
      <c r="F2" s="1"/>
      <c r="G2" s="1"/>
      <c r="H2" s="3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7.399999999999999">
      <c r="A3" s="1"/>
      <c r="B3" s="1"/>
      <c r="C3" s="1"/>
      <c r="D3" s="1"/>
      <c r="E3" s="1"/>
      <c r="F3" s="1"/>
      <c r="G3" s="1"/>
      <c r="H3" s="3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7.399999999999999">
      <c r="A4" s="1"/>
      <c r="B4" s="1"/>
      <c r="C4" s="1"/>
      <c r="D4" s="1"/>
      <c r="E4" s="1"/>
      <c r="F4" s="1"/>
      <c r="G4" s="1"/>
      <c r="H4" s="3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2.2">
      <c r="A5" s="1"/>
      <c r="B5" s="4" t="s">
        <v>5</v>
      </c>
      <c r="C5" s="1"/>
      <c r="D5" s="1"/>
      <c r="E5" s="5" t="str">
        <f>DASHBOARD!D2</f>
        <v>Q3 2024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15" thickBot="1">
      <c r="A6" s="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8" thickBot="1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8" thickBot="1">
      <c r="A8" s="7"/>
      <c r="B8" s="10"/>
      <c r="C8" s="79" t="s">
        <v>6</v>
      </c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1"/>
    </row>
    <row r="9" spans="1:44" ht="42">
      <c r="A9" s="11"/>
      <c r="B9" s="12"/>
      <c r="C9" s="13" t="s">
        <v>7</v>
      </c>
      <c r="D9" s="14" t="s">
        <v>8</v>
      </c>
      <c r="E9" s="15" t="s">
        <v>9</v>
      </c>
      <c r="F9" s="13" t="s">
        <v>7</v>
      </c>
      <c r="G9" s="14" t="s">
        <v>8</v>
      </c>
      <c r="H9" s="14" t="s">
        <v>9</v>
      </c>
      <c r="I9" s="13" t="s">
        <v>7</v>
      </c>
      <c r="J9" s="14" t="s">
        <v>8</v>
      </c>
      <c r="K9" s="15" t="s">
        <v>9</v>
      </c>
      <c r="L9" s="14" t="s">
        <v>7</v>
      </c>
      <c r="M9" s="14" t="s">
        <v>8</v>
      </c>
      <c r="N9" s="15" t="s">
        <v>9</v>
      </c>
      <c r="O9" s="13" t="s">
        <v>7</v>
      </c>
      <c r="P9" s="14" t="s">
        <v>8</v>
      </c>
      <c r="Q9" s="15" t="s">
        <v>9</v>
      </c>
      <c r="R9" s="13" t="s">
        <v>10</v>
      </c>
      <c r="S9" s="14" t="s">
        <v>8</v>
      </c>
      <c r="T9" s="15" t="s">
        <v>9</v>
      </c>
      <c r="U9" s="13" t="s">
        <v>7</v>
      </c>
      <c r="V9" s="14" t="s">
        <v>8</v>
      </c>
      <c r="W9" s="15" t="s">
        <v>9</v>
      </c>
      <c r="X9" s="13" t="s">
        <v>7</v>
      </c>
      <c r="Y9" s="14" t="s">
        <v>8</v>
      </c>
      <c r="Z9" s="15" t="s">
        <v>9</v>
      </c>
      <c r="AA9" s="13" t="s">
        <v>7</v>
      </c>
      <c r="AB9" s="14" t="s">
        <v>8</v>
      </c>
      <c r="AC9" s="15" t="s">
        <v>9</v>
      </c>
      <c r="AD9" s="13" t="s">
        <v>7</v>
      </c>
      <c r="AE9" s="14" t="s">
        <v>8</v>
      </c>
      <c r="AF9" s="15" t="s">
        <v>9</v>
      </c>
      <c r="AG9" s="13" t="s">
        <v>7</v>
      </c>
      <c r="AH9" s="14" t="s">
        <v>8</v>
      </c>
      <c r="AI9" s="15" t="s">
        <v>9</v>
      </c>
      <c r="AJ9" s="13" t="s">
        <v>7</v>
      </c>
      <c r="AK9" s="14" t="s">
        <v>8</v>
      </c>
      <c r="AL9" s="15" t="s">
        <v>9</v>
      </c>
      <c r="AM9" s="13" t="s">
        <v>7</v>
      </c>
      <c r="AN9" s="14" t="s">
        <v>8</v>
      </c>
      <c r="AO9" s="15" t="s">
        <v>9</v>
      </c>
      <c r="AP9" s="13" t="s">
        <v>7</v>
      </c>
      <c r="AQ9" s="14" t="s">
        <v>8</v>
      </c>
      <c r="AR9" s="15" t="s">
        <v>9</v>
      </c>
    </row>
    <row r="10" spans="1:44" ht="63">
      <c r="A10" s="16"/>
      <c r="B10" s="12"/>
      <c r="C10" s="17" t="s">
        <v>11</v>
      </c>
      <c r="D10" s="18" t="s">
        <v>11</v>
      </c>
      <c r="E10" s="19" t="s">
        <v>11</v>
      </c>
      <c r="F10" s="20" t="s">
        <v>12</v>
      </c>
      <c r="G10" s="21" t="s">
        <v>12</v>
      </c>
      <c r="H10" s="22" t="s">
        <v>12</v>
      </c>
      <c r="I10" s="17" t="s">
        <v>13</v>
      </c>
      <c r="J10" s="18" t="s">
        <v>13</v>
      </c>
      <c r="K10" s="19" t="s">
        <v>13</v>
      </c>
      <c r="L10" s="23" t="s">
        <v>14</v>
      </c>
      <c r="M10" s="21" t="s">
        <v>14</v>
      </c>
      <c r="N10" s="24" t="s">
        <v>14</v>
      </c>
      <c r="O10" s="20" t="s">
        <v>15</v>
      </c>
      <c r="P10" s="21" t="s">
        <v>15</v>
      </c>
      <c r="Q10" s="24" t="s">
        <v>15</v>
      </c>
      <c r="R10" s="20" t="s">
        <v>16</v>
      </c>
      <c r="S10" s="21" t="s">
        <v>16</v>
      </c>
      <c r="T10" s="24" t="s">
        <v>16</v>
      </c>
      <c r="U10" s="20" t="s">
        <v>17</v>
      </c>
      <c r="V10" s="21" t="s">
        <v>17</v>
      </c>
      <c r="W10" s="24" t="s">
        <v>17</v>
      </c>
      <c r="X10" s="20" t="s">
        <v>18</v>
      </c>
      <c r="Y10" s="21" t="s">
        <v>18</v>
      </c>
      <c r="Z10" s="24" t="s">
        <v>18</v>
      </c>
      <c r="AA10" s="20" t="s">
        <v>19</v>
      </c>
      <c r="AB10" s="21" t="s">
        <v>19</v>
      </c>
      <c r="AC10" s="24" t="s">
        <v>19</v>
      </c>
      <c r="AD10" s="20" t="s">
        <v>20</v>
      </c>
      <c r="AE10" s="21" t="s">
        <v>20</v>
      </c>
      <c r="AF10" s="24" t="s">
        <v>20</v>
      </c>
      <c r="AG10" s="20" t="s">
        <v>21</v>
      </c>
      <c r="AH10" s="21" t="s">
        <v>21</v>
      </c>
      <c r="AI10" s="24" t="s">
        <v>21</v>
      </c>
      <c r="AJ10" s="20" t="s">
        <v>22</v>
      </c>
      <c r="AK10" s="21" t="s">
        <v>22</v>
      </c>
      <c r="AL10" s="24" t="s">
        <v>22</v>
      </c>
      <c r="AM10" s="20" t="s">
        <v>23</v>
      </c>
      <c r="AN10" s="21" t="s">
        <v>23</v>
      </c>
      <c r="AO10" s="24" t="s">
        <v>23</v>
      </c>
      <c r="AP10" s="20" t="s">
        <v>24</v>
      </c>
      <c r="AQ10" s="21" t="s">
        <v>24</v>
      </c>
      <c r="AR10" s="24" t="s">
        <v>24</v>
      </c>
    </row>
    <row r="11" spans="1:44" ht="18">
      <c r="A11" s="25"/>
      <c r="B11" s="26" t="s">
        <v>25</v>
      </c>
      <c r="C11" s="27" cm="1">
        <f t="array" ref="C11">_xlfn.SWITCH($E$5, $H$1, C30, $H$2, C41, $H$3, C52, $H$4, C63)</f>
        <v>150000</v>
      </c>
      <c r="D11" s="27" cm="1">
        <f t="array" ref="D11">_xlfn.SWITCH($E$5, $H$1, D30, $H$2, D41, $H$3, D52, $H$4, D63)</f>
        <v>145000</v>
      </c>
      <c r="E11" s="27" cm="1">
        <f t="array" ref="E11">_xlfn.SWITCH($E$5, $H$1, E30, $H$2, E41, $H$3, E52, $H$4, E63)</f>
        <v>145000</v>
      </c>
      <c r="F11" s="27" cm="1">
        <f t="array" ref="F11">_xlfn.SWITCH($E$5, $H$1, F30, $H$2, F41, $H$3, F52, $H$4, F63)</f>
        <v>160000</v>
      </c>
      <c r="G11" s="27" cm="1">
        <f t="array" ref="G11">_xlfn.SWITCH($E$5, $H$1, G30, $H$2, G41, $H$3, G52, $H$4, G63)</f>
        <v>145000</v>
      </c>
      <c r="H11" s="27" cm="1">
        <f t="array" ref="H11">_xlfn.SWITCH($E$5, $H$1, H30, $H$2, H41, $H$3, H52, $H$4, H63)</f>
        <v>160000</v>
      </c>
      <c r="I11" s="27" cm="1">
        <f t="array" ref="I11">_xlfn.SWITCH($E$5, $H$1, I30, $H$2, I41, $H$3, I52, $H$4, I63)</f>
        <v>160000</v>
      </c>
      <c r="J11" s="27" cm="1">
        <f t="array" ref="J11">_xlfn.SWITCH($E$5, $H$1, J30, $H$2, J41, $H$3, J52, $H$4, J63)</f>
        <v>125000</v>
      </c>
      <c r="K11" s="27" cm="1">
        <f t="array" ref="K11">_xlfn.SWITCH($E$5, $H$1, K30, $H$2, K41, $H$3, K52, $H$4, K63)</f>
        <v>145000</v>
      </c>
      <c r="L11" s="27" cm="1">
        <f t="array" ref="L11">_xlfn.SWITCH($E$5, $H$1, L30, $H$2, L41, $H$3, L52, $H$4, L63)</f>
        <v>55</v>
      </c>
      <c r="M11" s="27" cm="1">
        <f t="array" ref="M11">_xlfn.SWITCH($E$5, $H$1, M30, $H$2, M41, $H$3, M52, $H$4, M63)</f>
        <v>55</v>
      </c>
      <c r="N11" s="27" cm="1">
        <f t="array" ref="N11">_xlfn.SWITCH($E$5, $H$1, N30, $H$2, N41, $H$3, N52, $H$4, N63)</f>
        <v>60</v>
      </c>
      <c r="O11" s="27" cm="1">
        <f t="array" ref="O11">_xlfn.SWITCH($E$5, $H$1, O30, $H$2, O41, $H$3, O52, $H$4, O63)</f>
        <v>20</v>
      </c>
      <c r="P11" s="27" cm="1">
        <f t="array" ref="P11">_xlfn.SWITCH($E$5, $H$1, P30, $H$2, P41, $H$3, P52, $H$4, P63)</f>
        <v>25</v>
      </c>
      <c r="Q11" s="27" cm="1">
        <f t="array" ref="Q11">_xlfn.SWITCH($E$5, $H$1, Q30, $H$2, Q41, $H$3, Q52, $H$4, Q63)</f>
        <v>35</v>
      </c>
      <c r="R11" s="27" cm="1">
        <f t="array" ref="R11">_xlfn.SWITCH($E$5, $H$1, R30, $H$2, R41, $H$3, R52, $H$4, R63)</f>
        <v>14</v>
      </c>
      <c r="S11" s="27" cm="1">
        <f t="array" ref="S11">_xlfn.SWITCH($E$5, $H$1, S30, $H$2, S41, $H$3, S52, $H$4, S63)</f>
        <v>18</v>
      </c>
      <c r="T11" s="27" cm="1">
        <f t="array" ref="T11">_xlfn.SWITCH($E$5, $H$1, T30, $H$2, T41, $H$3, T52, $H$4, T63)</f>
        <v>17</v>
      </c>
      <c r="U11" s="27" cm="1">
        <f t="array" ref="U11">_xlfn.SWITCH($E$5, $H$1, U30, $H$2, U41, $H$3, U52, $H$4, U63)</f>
        <v>21</v>
      </c>
      <c r="V11" s="27" cm="1">
        <f t="array" ref="V11">_xlfn.SWITCH($E$5, $H$1, V30, $H$2, V41, $H$3, V52, $H$4, V63)</f>
        <v>15</v>
      </c>
      <c r="W11" s="27" cm="1">
        <f t="array" ref="W11">_xlfn.SWITCH($E$5, $H$1, W30, $H$2, W41, $H$3, W52, $H$4, W63)</f>
        <v>11</v>
      </c>
      <c r="X11" s="27" cm="1">
        <f t="array" ref="X11">_xlfn.SWITCH($E$5, $H$1, X30, $H$2, X41, $H$3, X52, $H$4, X63)</f>
        <v>8000</v>
      </c>
      <c r="Y11" s="27" cm="1">
        <f t="array" ref="Y11">_xlfn.SWITCH($E$5, $H$1, Y30, $H$2, Y41, $H$3, Y52, $H$4, Y63)</f>
        <v>6000</v>
      </c>
      <c r="Z11" s="27" cm="1">
        <f t="array" ref="Z11">_xlfn.SWITCH($E$5, $H$1, Z30, $H$2, Z41, $H$3, Z52, $H$4, Z63)</f>
        <v>4000</v>
      </c>
      <c r="AA11" s="27" cm="1">
        <f t="array" ref="AA11">_xlfn.SWITCH($E$5, $H$1, AA30, $H$2, AA41, $H$3, AA52, $H$4, AA63)</f>
        <v>571.42999999999995</v>
      </c>
      <c r="AB11" s="27" cm="1">
        <f t="array" ref="AB11">_xlfn.SWITCH($E$5, $H$1, AB30, $H$2, AB41, $H$3, AB52, $H$4, AB63)</f>
        <v>333.33</v>
      </c>
      <c r="AC11" s="27" cm="1">
        <f t="array" ref="AC11">_xlfn.SWITCH($E$5, $H$1, AC30, $H$2, AC41, $H$3, AC52, $H$4, AC63)</f>
        <v>235.29</v>
      </c>
      <c r="AD11" s="27" cm="1">
        <f t="array" ref="AD11">_xlfn.SWITCH($E$5, $H$1, AD30, $H$2, AD41, $H$3, AD52, $H$4, AD63)</f>
        <v>350</v>
      </c>
      <c r="AE11" s="27" cm="1">
        <f t="array" ref="AE11">_xlfn.SWITCH($E$5, $H$1, AE30, $H$2, AE41, $H$3, AE52, $H$4, AE63)</f>
        <v>450</v>
      </c>
      <c r="AF11" s="27" cm="1">
        <f t="array" ref="AF11">_xlfn.SWITCH($E$5, $H$1, AF30, $H$2, AF41, $H$3, AF52, $H$4, AF63)</f>
        <v>350</v>
      </c>
      <c r="AG11" s="27" cm="1">
        <f t="array" ref="AG11">_xlfn.SWITCH($E$5, $H$1, AG30, $H$2, AG41, $H$3, AG52, $H$4, AG63)</f>
        <v>400</v>
      </c>
      <c r="AH11" s="27" cm="1">
        <f t="array" ref="AH11">_xlfn.SWITCH($E$5, $H$1, AH30, $H$2, AH41, $H$3, AH52, $H$4, AH63)</f>
        <v>385</v>
      </c>
      <c r="AI11" s="27" cm="1">
        <f t="array" ref="AI11">_xlfn.SWITCH($E$5, $H$1, AI30, $H$2, AI41, $H$3, AI52, $H$4, AI63)</f>
        <v>390</v>
      </c>
      <c r="AJ11" s="27" cm="1">
        <f t="array" ref="AJ11">_xlfn.SWITCH($E$5, $H$1, AJ30, $H$2, AJ41, $H$3, AJ52, $H$4, AJ63)</f>
        <v>2909.09</v>
      </c>
      <c r="AK11" s="27" cm="1">
        <f t="array" ref="AK11">_xlfn.SWITCH($E$5, $H$1, AK30, $H$2, AK41, $H$3, AK52, $H$4, AK63)</f>
        <v>2636.36</v>
      </c>
      <c r="AL11" s="27" cm="1">
        <f t="array" ref="AL11">_xlfn.SWITCH($E$5, $H$1, AL30, $H$2, AL41, $H$3, AL52, $H$4, AL63)</f>
        <v>2416.67</v>
      </c>
      <c r="AM11" s="27" cm="1">
        <f t="array" ref="AM11">_xlfn.SWITCH($E$5, $H$1, AM30, $H$2, AM41, $H$3, AM52, $H$4, AM63)</f>
        <v>2800</v>
      </c>
      <c r="AN11" s="27" cm="1">
        <f t="array" ref="AN11">_xlfn.SWITCH($E$5, $H$1, AN30, $H$2, AN41, $H$3, AN52, $H$4, AN63)</f>
        <v>2500</v>
      </c>
      <c r="AO11" s="27" cm="1">
        <f t="array" ref="AO11">_xlfn.SWITCH($E$5, $H$1, AO30, $H$2, AO41, $H$3, AO52, $H$4, AO63)</f>
        <v>2300</v>
      </c>
      <c r="AP11" s="27" cm="1">
        <f t="array" ref="AP11">_xlfn.SWITCH($E$5, $H$1, AP30, $H$2, AP41, $H$3, AP52, $H$4, AP63)</f>
        <v>2200</v>
      </c>
      <c r="AQ11" s="27" cm="1">
        <f t="array" ref="AQ11">_xlfn.SWITCH($E$5, $H$1, AQ30, $H$2, AQ41, $H$3, AQ52, $H$4, AQ63)</f>
        <v>2300</v>
      </c>
      <c r="AR11" s="27" cm="1">
        <f t="array" ref="AR11">_xlfn.SWITCH($E$5, $H$1, AR30, $H$2, AR41, $H$3, AR52, $H$4, AR63)</f>
        <v>2500</v>
      </c>
    </row>
    <row r="12" spans="1:44" ht="18">
      <c r="A12" s="25"/>
      <c r="B12" s="26" t="s">
        <v>26</v>
      </c>
      <c r="C12" s="27" cm="1">
        <f t="array" ref="C12">_xlfn.SWITCH($E$5, $H$1, C31, $H$2, C42, $H$3, C53, $H$4, C64)</f>
        <v>185000</v>
      </c>
      <c r="D12" s="27" cm="1">
        <f t="array" ref="D12">_xlfn.SWITCH($E$5, $H$1, D31, $H$2, D42, $H$3, D53, $H$4, D64)</f>
        <v>150000</v>
      </c>
      <c r="E12" s="27" cm="1">
        <f t="array" ref="E12">_xlfn.SWITCH($E$5, $H$1, E31, $H$2, E42, $H$3, E53, $H$4, E64)</f>
        <v>185000</v>
      </c>
      <c r="F12" s="27" cm="1">
        <f t="array" ref="F12">_xlfn.SWITCH($E$5, $H$1, F31, $H$2, F42, $H$3, F53, $H$4, F64)</f>
        <v>160000</v>
      </c>
      <c r="G12" s="27" cm="1">
        <f t="array" ref="G12">_xlfn.SWITCH($E$5, $H$1, G31, $H$2, G42, $H$3, G53, $H$4, G64)</f>
        <v>145000</v>
      </c>
      <c r="H12" s="27" cm="1">
        <f t="array" ref="H12">_xlfn.SWITCH($E$5, $H$1, H31, $H$2, H42, $H$3, H53, $H$4, H64)</f>
        <v>160000</v>
      </c>
      <c r="I12" s="27" cm="1">
        <f t="array" ref="I12">_xlfn.SWITCH($E$5, $H$1, I31, $H$2, I42, $H$3, I53, $H$4, I64)</f>
        <v>125000</v>
      </c>
      <c r="J12" s="27" cm="1">
        <f t="array" ref="J12">_xlfn.SWITCH($E$5, $H$1, J31, $H$2, J42, $H$3, J53, $H$4, J64)</f>
        <v>130000</v>
      </c>
      <c r="K12" s="27" cm="1">
        <f t="array" ref="K12">_xlfn.SWITCH($E$5, $H$1, K31, $H$2, K42, $H$3, K53, $H$4, K64)</f>
        <v>120000</v>
      </c>
      <c r="L12" s="27" cm="1">
        <f t="array" ref="L12">_xlfn.SWITCH($E$5, $H$1, L31, $H$2, L42, $H$3, L53, $H$4, L64)</f>
        <v>56</v>
      </c>
      <c r="M12" s="27" cm="1">
        <f t="array" ref="M12">_xlfn.SWITCH($E$5, $H$1, M31, $H$2, M42, $H$3, M53, $H$4, M64)</f>
        <v>45</v>
      </c>
      <c r="N12" s="27" cm="1">
        <f t="array" ref="N12">_xlfn.SWITCH($E$5, $H$1, N31, $H$2, N42, $H$3, N53, $H$4, N64)</f>
        <v>65</v>
      </c>
      <c r="O12" s="27" cm="1">
        <f t="array" ref="O12">_xlfn.SWITCH($E$5, $H$1, O31, $H$2, O42, $H$3, O53, $H$4, O64)</f>
        <v>20</v>
      </c>
      <c r="P12" s="27" cm="1">
        <f t="array" ref="P12">_xlfn.SWITCH($E$5, $H$1, P31, $H$2, P42, $H$3, P53, $H$4, P64)</f>
        <v>25</v>
      </c>
      <c r="Q12" s="27" cm="1">
        <f t="array" ref="Q12">_xlfn.SWITCH($E$5, $H$1, Q31, $H$2, Q42, $H$3, Q53, $H$4, Q64)</f>
        <v>35</v>
      </c>
      <c r="R12" s="27" cm="1">
        <f t="array" ref="R12">_xlfn.SWITCH($E$5, $H$1, R31, $H$2, R42, $H$3, R53, $H$4, R64)</f>
        <v>15</v>
      </c>
      <c r="S12" s="27" cm="1">
        <f t="array" ref="S12">_xlfn.SWITCH($E$5, $H$1, S31, $H$2, S42, $H$3, S53, $H$4, S64)</f>
        <v>25</v>
      </c>
      <c r="T12" s="27" cm="1">
        <f t="array" ref="T12">_xlfn.SWITCH($E$5, $H$1, T31, $H$2, T42, $H$3, T53, $H$4, T64)</f>
        <v>25</v>
      </c>
      <c r="U12" s="27" cm="1">
        <f t="array" ref="U12">_xlfn.SWITCH($E$5, $H$1, U31, $H$2, U42, $H$3, U53, $H$4, U64)</f>
        <v>14</v>
      </c>
      <c r="V12" s="27" cm="1">
        <f t="array" ref="V12">_xlfn.SWITCH($E$5, $H$1, V31, $H$2, V42, $H$3, V53, $H$4, V64)</f>
        <v>22</v>
      </c>
      <c r="W12" s="27" cm="1">
        <f t="array" ref="W12">_xlfn.SWITCH($E$5, $H$1, W31, $H$2, W42, $H$3, W53, $H$4, W64)</f>
        <v>12</v>
      </c>
      <c r="X12" s="27" cm="1">
        <f t="array" ref="X12">_xlfn.SWITCH($E$5, $H$1, X31, $H$2, X42, $H$3, X53, $H$4, X64)</f>
        <v>5500</v>
      </c>
      <c r="Y12" s="27" cm="1">
        <f t="array" ref="Y12">_xlfn.SWITCH($E$5, $H$1, Y31, $H$2, Y42, $H$3, Y53, $H$4, Y64)</f>
        <v>8500</v>
      </c>
      <c r="Z12" s="27" cm="1">
        <f t="array" ref="Z12">_xlfn.SWITCH($E$5, $H$1, Z31, $H$2, Z42, $H$3, Z53, $H$4, Z64)</f>
        <v>5000</v>
      </c>
      <c r="AA12" s="27" cm="1">
        <f t="array" ref="AA12">_xlfn.SWITCH($E$5, $H$1, AA31, $H$2, AA42, $H$3, AA53, $H$4, AA64)</f>
        <v>366.67</v>
      </c>
      <c r="AB12" s="27" cm="1">
        <f t="array" ref="AB12">_xlfn.SWITCH($E$5, $H$1, AB31, $H$2, AB42, $H$3, AB53, $H$4, AB64)</f>
        <v>340</v>
      </c>
      <c r="AC12" s="27" cm="1">
        <f t="array" ref="AC12">_xlfn.SWITCH($E$5, $H$1, AC31, $H$2, AC42, $H$3, AC53, $H$4, AC64)</f>
        <v>200</v>
      </c>
      <c r="AD12" s="27" cm="1">
        <f t="array" ref="AD12">_xlfn.SWITCH($E$5, $H$1, AD31, $H$2, AD42, $H$3, AD53, $H$4, AD64)</f>
        <v>350</v>
      </c>
      <c r="AE12" s="27" cm="1">
        <f t="array" ref="AE12">_xlfn.SWITCH($E$5, $H$1, AE31, $H$2, AE42, $H$3, AE53, $H$4, AE64)</f>
        <v>450</v>
      </c>
      <c r="AF12" s="27" cm="1">
        <f t="array" ref="AF12">_xlfn.SWITCH($E$5, $H$1, AF31, $H$2, AF42, $H$3, AF53, $H$4, AF64)</f>
        <v>350</v>
      </c>
      <c r="AG12" s="27" cm="1">
        <f t="array" ref="AG12">_xlfn.SWITCH($E$5, $H$1, AG31, $H$2, AG42, $H$3, AG53, $H$4, AG64)</f>
        <v>380</v>
      </c>
      <c r="AH12" s="27" cm="1">
        <f t="array" ref="AH12">_xlfn.SWITCH($E$5, $H$1, AH31, $H$2, AH42, $H$3, AH53, $H$4, AH64)</f>
        <v>400</v>
      </c>
      <c r="AI12" s="27" cm="1">
        <f t="array" ref="AI12">_xlfn.SWITCH($E$5, $H$1, AI31, $H$2, AI42, $H$3, AI53, $H$4, AI64)</f>
        <v>388</v>
      </c>
      <c r="AJ12" s="27" cm="1">
        <f t="array" ref="AJ12">_xlfn.SWITCH($E$5, $H$1, AJ31, $H$2, AJ42, $H$3, AJ53, $H$4, AJ64)</f>
        <v>3303.57</v>
      </c>
      <c r="AK12" s="27" cm="1">
        <f t="array" ref="AK12">_xlfn.SWITCH($E$5, $H$1, AK31, $H$2, AK42, $H$3, AK53, $H$4, AK64)</f>
        <v>3333.33</v>
      </c>
      <c r="AL12" s="27" cm="1">
        <f t="array" ref="AL12">_xlfn.SWITCH($E$5, $H$1, AL31, $H$2, AL42, $H$3, AL53, $H$4, AL64)</f>
        <v>2846.15</v>
      </c>
      <c r="AM12" s="27" cm="1">
        <f t="array" ref="AM12">_xlfn.SWITCH($E$5, $H$1, AM31, $H$2, AM42, $H$3, AM53, $H$4, AM64)</f>
        <v>2500</v>
      </c>
      <c r="AN12" s="27" cm="1">
        <f t="array" ref="AN12">_xlfn.SWITCH($E$5, $H$1, AN31, $H$2, AN42, $H$3, AN53, $H$4, AN64)</f>
        <v>3000</v>
      </c>
      <c r="AO12" s="27" cm="1">
        <f t="array" ref="AO12">_xlfn.SWITCH($E$5, $H$1, AO31, $H$2, AO42, $H$3, AO53, $H$4, AO64)</f>
        <v>2000</v>
      </c>
      <c r="AP12" s="27" cm="1">
        <f t="array" ref="AP12">_xlfn.SWITCH($E$5, $H$1, AP31, $H$2, AP42, $H$3, AP53, $H$4, AP64)</f>
        <v>2200</v>
      </c>
      <c r="AQ12" s="27" cm="1">
        <f t="array" ref="AQ12">_xlfn.SWITCH($E$5, $H$1, AQ31, $H$2, AQ42, $H$3, AQ53, $H$4, AQ64)</f>
        <v>2300</v>
      </c>
      <c r="AR12" s="27" cm="1">
        <f t="array" ref="AR12">_xlfn.SWITCH($E$5, $H$1, AR31, $H$2, AR42, $H$3, AR53, $H$4, AR64)</f>
        <v>2500</v>
      </c>
    </row>
    <row r="13" spans="1:44" ht="18">
      <c r="A13" s="25"/>
      <c r="B13" s="26" t="s">
        <v>27</v>
      </c>
      <c r="C13" s="27" cm="1">
        <f t="array" ref="C13">_xlfn.SWITCH($E$5, $H$1, C32, $H$2, C43, $H$3, C54, $H$4, C65)</f>
        <v>150000</v>
      </c>
      <c r="D13" s="27" cm="1">
        <f t="array" ref="D13">_xlfn.SWITCH($E$5, $H$1, D32, $H$2, D43, $H$3, D54, $H$4, D65)</f>
        <v>125000</v>
      </c>
      <c r="E13" s="27" cm="1">
        <f t="array" ref="E13">_xlfn.SWITCH($E$5, $H$1, E32, $H$2, E43, $H$3, E54, $H$4, E65)</f>
        <v>120000</v>
      </c>
      <c r="F13" s="27" cm="1">
        <f t="array" ref="F13">_xlfn.SWITCH($E$5, $H$1, F32, $H$2, F43, $H$3, F54, $H$4, F65)</f>
        <v>160000</v>
      </c>
      <c r="G13" s="27" cm="1">
        <f t="array" ref="G13">_xlfn.SWITCH($E$5, $H$1, G32, $H$2, G43, $H$3, G54, $H$4, G65)</f>
        <v>145000</v>
      </c>
      <c r="H13" s="27" cm="1">
        <f t="array" ref="H13">_xlfn.SWITCH($E$5, $H$1, H32, $H$2, H43, $H$3, H54, $H$4, H65)</f>
        <v>160000</v>
      </c>
      <c r="I13" s="27" cm="1">
        <f t="array" ref="I13">_xlfn.SWITCH($E$5, $H$1, I32, $H$2, I43, $H$3, I54, $H$4, I65)</f>
        <v>130000</v>
      </c>
      <c r="J13" s="27" cm="1">
        <f t="array" ref="J13">_xlfn.SWITCH($E$5, $H$1, J32, $H$2, J43, $H$3, J54, $H$4, J65)</f>
        <v>150000</v>
      </c>
      <c r="K13" s="27" cm="1">
        <f t="array" ref="K13">_xlfn.SWITCH($E$5, $H$1, K32, $H$2, K43, $H$3, K54, $H$4, K65)</f>
        <v>125000</v>
      </c>
      <c r="L13" s="27" cm="1">
        <f t="array" ref="L13">_xlfn.SWITCH($E$5, $H$1, L32, $H$2, L43, $H$3, L54, $H$4, L65)</f>
        <v>56</v>
      </c>
      <c r="M13" s="27" cm="1">
        <f t="array" ref="M13">_xlfn.SWITCH($E$5, $H$1, M32, $H$2, M43, $H$3, M54, $H$4, M65)</f>
        <v>65</v>
      </c>
      <c r="N13" s="27" cm="1">
        <f t="array" ref="N13">_xlfn.SWITCH($E$5, $H$1, N32, $H$2, N43, $H$3, N54, $H$4, N65)</f>
        <v>50</v>
      </c>
      <c r="O13" s="27" cm="1">
        <f t="array" ref="O13">_xlfn.SWITCH($E$5, $H$1, O32, $H$2, O43, $H$3, O54, $H$4, O65)</f>
        <v>20</v>
      </c>
      <c r="P13" s="27" cm="1">
        <f t="array" ref="P13">_xlfn.SWITCH($E$5, $H$1, P32, $H$2, P43, $H$3, P54, $H$4, P65)</f>
        <v>25</v>
      </c>
      <c r="Q13" s="27" cm="1">
        <f t="array" ref="Q13">_xlfn.SWITCH($E$5, $H$1, Q32, $H$2, Q43, $H$3, Q54, $H$4, Q65)</f>
        <v>35</v>
      </c>
      <c r="R13" s="27" cm="1">
        <f t="array" ref="R13">_xlfn.SWITCH($E$5, $H$1, R32, $H$2, R43, $H$3, R54, $H$4, R65)</f>
        <v>22</v>
      </c>
      <c r="S13" s="27" cm="1">
        <f t="array" ref="S13">_xlfn.SWITCH($E$5, $H$1, S32, $H$2, S43, $H$3, S54, $H$4, S65)</f>
        <v>17</v>
      </c>
      <c r="T13" s="27" cm="1">
        <f t="array" ref="T13">_xlfn.SWITCH($E$5, $H$1, T32, $H$2, T43, $H$3, T54, $H$4, T65)</f>
        <v>17</v>
      </c>
      <c r="U13" s="27" cm="1">
        <f t="array" ref="U13">_xlfn.SWITCH($E$5, $H$1, U32, $H$2, U43, $H$3, U54, $H$4, U65)</f>
        <v>25</v>
      </c>
      <c r="V13" s="27" cm="1">
        <f t="array" ref="V13">_xlfn.SWITCH($E$5, $H$1, V32, $H$2, V43, $H$3, V54, $H$4, V65)</f>
        <v>17</v>
      </c>
      <c r="W13" s="27" cm="1">
        <f t="array" ref="W13">_xlfn.SWITCH($E$5, $H$1, W32, $H$2, W43, $H$3, W54, $H$4, W65)</f>
        <v>21</v>
      </c>
      <c r="X13" s="27" cm="1">
        <f t="array" ref="X13">_xlfn.SWITCH($E$5, $H$1, X32, $H$2, X43, $H$3, X54, $H$4, X65)</f>
        <v>9000</v>
      </c>
      <c r="Y13" s="27" cm="1">
        <f t="array" ref="Y13">_xlfn.SWITCH($E$5, $H$1, Y32, $H$2, Y43, $H$3, Y54, $H$4, Y65)</f>
        <v>6500</v>
      </c>
      <c r="Z13" s="27" cm="1">
        <f t="array" ref="Z13">_xlfn.SWITCH($E$5, $H$1, Z32, $H$2, Z43, $H$3, Z54, $H$4, Z65)</f>
        <v>6500</v>
      </c>
      <c r="AA13" s="27" cm="1">
        <f t="array" ref="AA13">_xlfn.SWITCH($E$5, $H$1, AA32, $H$2, AA43, $H$3, AA54, $H$4, AA65)</f>
        <v>409.09</v>
      </c>
      <c r="AB13" s="27" cm="1">
        <f t="array" ref="AB13">_xlfn.SWITCH($E$5, $H$1, AB32, $H$2, AB43, $H$3, AB54, $H$4, AB65)</f>
        <v>382.35</v>
      </c>
      <c r="AC13" s="27" cm="1">
        <f t="array" ref="AC13">_xlfn.SWITCH($E$5, $H$1, AC32, $H$2, AC43, $H$3, AC54, $H$4, AC65)</f>
        <v>382.35</v>
      </c>
      <c r="AD13" s="27" cm="1">
        <f t="array" ref="AD13">_xlfn.SWITCH($E$5, $H$1, AD32, $H$2, AD43, $H$3, AD54, $H$4, AD65)</f>
        <v>350</v>
      </c>
      <c r="AE13" s="27" cm="1">
        <f t="array" ref="AE13">_xlfn.SWITCH($E$5, $H$1, AE32, $H$2, AE43, $H$3, AE54, $H$4, AE65)</f>
        <v>450</v>
      </c>
      <c r="AF13" s="27" cm="1">
        <f t="array" ref="AF13">_xlfn.SWITCH($E$5, $H$1, AF32, $H$2, AF43, $H$3, AF54, $H$4, AF65)</f>
        <v>350</v>
      </c>
      <c r="AG13" s="27" cm="1">
        <f t="array" ref="AG13">_xlfn.SWITCH($E$5, $H$1, AG32, $H$2, AG43, $H$3, AG54, $H$4, AG65)</f>
        <v>365</v>
      </c>
      <c r="AH13" s="27" cm="1">
        <f t="array" ref="AH13">_xlfn.SWITCH($E$5, $H$1, AH32, $H$2, AH43, $H$3, AH54, $H$4, AH65)</f>
        <v>350</v>
      </c>
      <c r="AI13" s="27" cm="1">
        <f t="array" ref="AI13">_xlfn.SWITCH($E$5, $H$1, AI32, $H$2, AI43, $H$3, AI54, $H$4, AI65)</f>
        <v>352</v>
      </c>
      <c r="AJ13" s="27" cm="1">
        <f t="array" ref="AJ13">_xlfn.SWITCH($E$5, $H$1, AJ32, $H$2, AJ43, $H$3, AJ54, $H$4, AJ65)</f>
        <v>2678.57</v>
      </c>
      <c r="AK13" s="27" cm="1">
        <f t="array" ref="AK13">_xlfn.SWITCH($E$5, $H$1, AK32, $H$2, AK43, $H$3, AK54, $H$4, AK65)</f>
        <v>1923.08</v>
      </c>
      <c r="AL13" s="27" cm="1">
        <f t="array" ref="AL13">_xlfn.SWITCH($E$5, $H$1, AL32, $H$2, AL43, $H$3, AL54, $H$4, AL65)</f>
        <v>2400</v>
      </c>
      <c r="AM13" s="27" cm="1">
        <f t="array" ref="AM13">_xlfn.SWITCH($E$5, $H$1, AM32, $H$2, AM43, $H$3, AM54, $H$4, AM65)</f>
        <v>2600</v>
      </c>
      <c r="AN13" s="27" cm="1">
        <f t="array" ref="AN13">_xlfn.SWITCH($E$5, $H$1, AN32, $H$2, AN43, $H$3, AN54, $H$4, AN65)</f>
        <v>1800</v>
      </c>
      <c r="AO13" s="27" cm="1">
        <f t="array" ref="AO13">_xlfn.SWITCH($E$5, $H$1, AO32, $H$2, AO43, $H$3, AO54, $H$4, AO65)</f>
        <v>2200</v>
      </c>
      <c r="AP13" s="27" cm="1">
        <f t="array" ref="AP13">_xlfn.SWITCH($E$5, $H$1, AP32, $H$2, AP43, $H$3, AP54, $H$4, AP65)</f>
        <v>2200</v>
      </c>
      <c r="AQ13" s="27" cm="1">
        <f t="array" ref="AQ13">_xlfn.SWITCH($E$5, $H$1, AQ32, $H$2, AQ43, $H$3, AQ54, $H$4, AQ65)</f>
        <v>2300</v>
      </c>
      <c r="AR13" s="27" cm="1">
        <f t="array" ref="AR13">_xlfn.SWITCH($E$5, $H$1, AR32, $H$2, AR43, $H$3, AR54, $H$4, AR65)</f>
        <v>2500</v>
      </c>
    </row>
    <row r="14" spans="1:44" ht="18">
      <c r="A14" s="25"/>
      <c r="B14" s="26" t="s">
        <v>28</v>
      </c>
      <c r="C14" s="27" cm="1">
        <f t="array" ref="C14">_xlfn.SWITCH($E$5, $H$1, C33, $H$2, C44, $H$3, C55, $H$4, C66)</f>
        <v>155000</v>
      </c>
      <c r="D14" s="27" cm="1">
        <f t="array" ref="D14">_xlfn.SWITCH($E$5, $H$1, D33, $H$2, D44, $H$3, D55, $H$4, D66)</f>
        <v>155000</v>
      </c>
      <c r="E14" s="27" cm="1">
        <f t="array" ref="E14">_xlfn.SWITCH($E$5, $H$1, E33, $H$2, E44, $H$3, E55, $H$4, E66)</f>
        <v>155000</v>
      </c>
      <c r="F14" s="27" cm="1">
        <f t="array" ref="F14">_xlfn.SWITCH($E$5, $H$1, F33, $H$2, F44, $H$3, F55, $H$4, F66)</f>
        <v>160000</v>
      </c>
      <c r="G14" s="27" cm="1">
        <f t="array" ref="G14">_xlfn.SWITCH($E$5, $H$1, G33, $H$2, G44, $H$3, G55, $H$4, G66)</f>
        <v>145000</v>
      </c>
      <c r="H14" s="27" cm="1">
        <f t="array" ref="H14">_xlfn.SWITCH($E$5, $H$1, H33, $H$2, H44, $H$3, H55, $H$4, H66)</f>
        <v>160000</v>
      </c>
      <c r="I14" s="27" cm="1">
        <f t="array" ref="I14">_xlfn.SWITCH($E$5, $H$1, I33, $H$2, I44, $H$3, I55, $H$4, I66)</f>
        <v>150000</v>
      </c>
      <c r="J14" s="27" cm="1">
        <f t="array" ref="J14">_xlfn.SWITCH($E$5, $H$1, J33, $H$2, J44, $H$3, J55, $H$4, J66)</f>
        <v>155000</v>
      </c>
      <c r="K14" s="27" cm="1">
        <f t="array" ref="K14">_xlfn.SWITCH($E$5, $H$1, K33, $H$2, K44, $H$3, K55, $H$4, K66)</f>
        <v>160000</v>
      </c>
      <c r="L14" s="27" cm="1">
        <f t="array" ref="L14">_xlfn.SWITCH($E$5, $H$1, L33, $H$2, L44, $H$3, L55, $H$4, L66)</f>
        <v>62</v>
      </c>
      <c r="M14" s="27" cm="1">
        <f t="array" ref="M14">_xlfn.SWITCH($E$5, $H$1, M33, $H$2, M44, $H$3, M55, $H$4, M66)</f>
        <v>52</v>
      </c>
      <c r="N14" s="27" cm="1">
        <f t="array" ref="N14">_xlfn.SWITCH($E$5, $H$1, N33, $H$2, N44, $H$3, N55, $H$4, N66)</f>
        <v>52</v>
      </c>
      <c r="O14" s="27" cm="1">
        <f t="array" ref="O14">_xlfn.SWITCH($E$5, $H$1, O33, $H$2, O44, $H$3, O55, $H$4, O66)</f>
        <v>20</v>
      </c>
      <c r="P14" s="27" cm="1">
        <f t="array" ref="P14">_xlfn.SWITCH($E$5, $H$1, P33, $H$2, P44, $H$3, P55, $H$4, P66)</f>
        <v>25</v>
      </c>
      <c r="Q14" s="27" cm="1">
        <f t="array" ref="Q14">_xlfn.SWITCH($E$5, $H$1, Q33, $H$2, Q44, $H$3, Q55, $H$4, Q66)</f>
        <v>35</v>
      </c>
      <c r="R14" s="27" cm="1">
        <f t="array" ref="R14">_xlfn.SWITCH($E$5, $H$1, R33, $H$2, R44, $H$3, R55, $H$4, R66)</f>
        <v>21</v>
      </c>
      <c r="S14" s="27" cm="1">
        <f t="array" ref="S14">_xlfn.SWITCH($E$5, $H$1, S33, $H$2, S44, $H$3, S55, $H$4, S66)</f>
        <v>24</v>
      </c>
      <c r="T14" s="27" cm="1">
        <f t="array" ref="T14">_xlfn.SWITCH($E$5, $H$1, T33, $H$2, T44, $H$3, T55, $H$4, T66)</f>
        <v>22</v>
      </c>
      <c r="U14" s="27" cm="1">
        <f t="array" ref="U14">_xlfn.SWITCH($E$5, $H$1, U33, $H$2, U44, $H$3, U55, $H$4, U66)</f>
        <v>17</v>
      </c>
      <c r="V14" s="27" cm="1">
        <f t="array" ref="V14">_xlfn.SWITCH($E$5, $H$1, V33, $H$2, V44, $H$3, V55, $H$4, V66)</f>
        <v>16</v>
      </c>
      <c r="W14" s="27" cm="1">
        <f t="array" ref="W14">_xlfn.SWITCH($E$5, $H$1, W33, $H$2, W44, $H$3, W55, $H$4, W66)</f>
        <v>23</v>
      </c>
      <c r="X14" s="27" cm="1">
        <f t="array" ref="X14">_xlfn.SWITCH($E$5, $H$1, X33, $H$2, X44, $H$3, X55, $H$4, X66)</f>
        <v>6200</v>
      </c>
      <c r="Y14" s="27" cm="1">
        <f t="array" ref="Y14">_xlfn.SWITCH($E$5, $H$1, Y33, $H$2, Y44, $H$3, Y55, $H$4, Y66)</f>
        <v>6300</v>
      </c>
      <c r="Z14" s="27" cm="1">
        <f t="array" ref="Z14">_xlfn.SWITCH($E$5, $H$1, Z33, $H$2, Z44, $H$3, Z55, $H$4, Z66)</f>
        <v>9000</v>
      </c>
      <c r="AA14" s="27" cm="1">
        <f t="array" ref="AA14">_xlfn.SWITCH($E$5, $H$1, AA33, $H$2, AA44, $H$3, AA55, $H$4, AA66)</f>
        <v>295.24</v>
      </c>
      <c r="AB14" s="27" cm="1">
        <f t="array" ref="AB14">_xlfn.SWITCH($E$5, $H$1, AB33, $H$2, AB44, $H$3, AB55, $H$4, AB66)</f>
        <v>262.5</v>
      </c>
      <c r="AC14" s="27" cm="1">
        <f t="array" ref="AC14">_xlfn.SWITCH($E$5, $H$1, AC33, $H$2, AC44, $H$3, AC55, $H$4, AC66)</f>
        <v>409.09</v>
      </c>
      <c r="AD14" s="27" cm="1">
        <f t="array" ref="AD14">_xlfn.SWITCH($E$5, $H$1, AD33, $H$2, AD44, $H$3, AD55, $H$4, AD66)</f>
        <v>350</v>
      </c>
      <c r="AE14" s="27" cm="1">
        <f t="array" ref="AE14">_xlfn.SWITCH($E$5, $H$1, AE33, $H$2, AE44, $H$3, AE55, $H$4, AE66)</f>
        <v>450</v>
      </c>
      <c r="AF14" s="27" cm="1">
        <f t="array" ref="AF14">_xlfn.SWITCH($E$5, $H$1, AF33, $H$2, AF44, $H$3, AF55, $H$4, AF66)</f>
        <v>350</v>
      </c>
      <c r="AG14" s="27" cm="1">
        <f t="array" ref="AG14">_xlfn.SWITCH($E$5, $H$1, AG33, $H$2, AG44, $H$3, AG55, $H$4, AG66)</f>
        <v>405</v>
      </c>
      <c r="AH14" s="27" cm="1">
        <f t="array" ref="AH14">_xlfn.SWITCH($E$5, $H$1, AH33, $H$2, AH44, $H$3, AH55, $H$4, AH66)</f>
        <v>370</v>
      </c>
      <c r="AI14" s="27" cm="1">
        <f t="array" ref="AI14">_xlfn.SWITCH($E$5, $H$1, AI33, $H$2, AI44, $H$3, AI55, $H$4, AI66)</f>
        <v>350</v>
      </c>
      <c r="AJ14" s="27" cm="1">
        <f t="array" ref="AJ14">_xlfn.SWITCH($E$5, $H$1, AJ33, $H$2, AJ44, $H$3, AJ55, $H$4, AJ66)</f>
        <v>2500</v>
      </c>
      <c r="AK14" s="27" cm="1">
        <f t="array" ref="AK14">_xlfn.SWITCH($E$5, $H$1, AK33, $H$2, AK44, $H$3, AK55, $H$4, AK66)</f>
        <v>2980.77</v>
      </c>
      <c r="AL14" s="27" cm="1">
        <f t="array" ref="AL14">_xlfn.SWITCH($E$5, $H$1, AL33, $H$2, AL44, $H$3, AL55, $H$4, AL66)</f>
        <v>2980.77</v>
      </c>
      <c r="AM14" s="27" cm="1">
        <f t="array" ref="AM14">_xlfn.SWITCH($E$5, $H$1, AM33, $H$2, AM44, $H$3, AM55, $H$4, AM66)</f>
        <v>2400</v>
      </c>
      <c r="AN14" s="27" cm="1">
        <f t="array" ref="AN14">_xlfn.SWITCH($E$5, $H$1, AN33, $H$2, AN44, $H$3, AN55, $H$4, AN66)</f>
        <v>2800</v>
      </c>
      <c r="AO14" s="27" cm="1">
        <f t="array" ref="AO14">_xlfn.SWITCH($E$5, $H$1, AO33, $H$2, AO44, $H$3, AO55, $H$4, AO66)</f>
        <v>2890</v>
      </c>
      <c r="AP14" s="27" cm="1">
        <f t="array" ref="AP14">_xlfn.SWITCH($E$5, $H$1, AP33, $H$2, AP44, $H$3, AP55, $H$4, AP66)</f>
        <v>2200</v>
      </c>
      <c r="AQ14" s="27" cm="1">
        <f t="array" ref="AQ14">_xlfn.SWITCH($E$5, $H$1, AQ33, $H$2, AQ44, $H$3, AQ55, $H$4, AQ66)</f>
        <v>2300</v>
      </c>
      <c r="AR14" s="27" cm="1">
        <f t="array" ref="AR14">_xlfn.SWITCH($E$5, $H$1, AR33, $H$2, AR44, $H$3, AR55, $H$4, AR66)</f>
        <v>2500</v>
      </c>
    </row>
    <row r="15" spans="1:44" ht="18">
      <c r="A15" s="25"/>
      <c r="B15" s="26" t="s">
        <v>29</v>
      </c>
      <c r="C15" s="27" cm="1">
        <f t="array" ref="C15">_xlfn.SWITCH($E$5, $H$1, C34, $H$2, C45, $H$3, C56, $H$4, C67)</f>
        <v>140000</v>
      </c>
      <c r="D15" s="27" cm="1">
        <f t="array" ref="D15">_xlfn.SWITCH($E$5, $H$1, D34, $H$2, D45, $H$3, D56, $H$4, D67)</f>
        <v>170000</v>
      </c>
      <c r="E15" s="27" cm="1">
        <f t="array" ref="E15">_xlfn.SWITCH($E$5, $H$1, E34, $H$2, E45, $H$3, E56, $H$4, E67)</f>
        <v>155000</v>
      </c>
      <c r="F15" s="27" cm="1">
        <f t="array" ref="F15">_xlfn.SWITCH($E$5, $H$1, F34, $H$2, F45, $H$3, F56, $H$4, F67)</f>
        <v>160000</v>
      </c>
      <c r="G15" s="27" cm="1">
        <f t="array" ref="G15">_xlfn.SWITCH($E$5, $H$1, G34, $H$2, G45, $H$3, G56, $H$4, G67)</f>
        <v>145000</v>
      </c>
      <c r="H15" s="27" cm="1">
        <f t="array" ref="H15">_xlfn.SWITCH($E$5, $H$1, H34, $H$2, H45, $H$3, H56, $H$4, H67)</f>
        <v>160000</v>
      </c>
      <c r="I15" s="27" cm="1">
        <f t="array" ref="I15">_xlfn.SWITCH($E$5, $H$1, I34, $H$2, I45, $H$3, I56, $H$4, I67)</f>
        <v>150000</v>
      </c>
      <c r="J15" s="27" cm="1">
        <f t="array" ref="J15">_xlfn.SWITCH($E$5, $H$1, J34, $H$2, J45, $H$3, J56, $H$4, J67)</f>
        <v>180000</v>
      </c>
      <c r="K15" s="27" cm="1">
        <f t="array" ref="K15">_xlfn.SWITCH($E$5, $H$1, K34, $H$2, K45, $H$3, K56, $H$4, K67)</f>
        <v>140000</v>
      </c>
      <c r="L15" s="27" cm="1">
        <f t="array" ref="L15">_xlfn.SWITCH($E$5, $H$1, L34, $H$2, L45, $H$3, L56, $H$4, L67)</f>
        <v>65</v>
      </c>
      <c r="M15" s="27" cm="1">
        <f t="array" ref="M15">_xlfn.SWITCH($E$5, $H$1, M34, $H$2, M45, $H$3, M56, $H$4, M67)</f>
        <v>50</v>
      </c>
      <c r="N15" s="27" cm="1">
        <f t="array" ref="N15">_xlfn.SWITCH($E$5, $H$1, N34, $H$2, N45, $H$3, N56, $H$4, N67)</f>
        <v>70</v>
      </c>
      <c r="O15" s="27" cm="1">
        <f t="array" ref="O15">_xlfn.SWITCH($E$5, $H$1, O34, $H$2, O45, $H$3, O56, $H$4, O67)</f>
        <v>20</v>
      </c>
      <c r="P15" s="27" cm="1">
        <f t="array" ref="P15">_xlfn.SWITCH($E$5, $H$1, P34, $H$2, P45, $H$3, P56, $H$4, P67)</f>
        <v>25</v>
      </c>
      <c r="Q15" s="27" cm="1">
        <f t="array" ref="Q15">_xlfn.SWITCH($E$5, $H$1, Q34, $H$2, Q45, $H$3, Q56, $H$4, Q67)</f>
        <v>35</v>
      </c>
      <c r="R15" s="27" cm="1">
        <f t="array" ref="R15">_xlfn.SWITCH($E$5, $H$1, R34, $H$2, R45, $H$3, R56, $H$4, R67)</f>
        <v>30</v>
      </c>
      <c r="S15" s="27" cm="1">
        <f t="array" ref="S15">_xlfn.SWITCH($E$5, $H$1, S34, $H$2, S45, $H$3, S56, $H$4, S67)</f>
        <v>16</v>
      </c>
      <c r="T15" s="27" cm="1">
        <f t="array" ref="T15">_xlfn.SWITCH($E$5, $H$1, T34, $H$2, T45, $H$3, T56, $H$4, T67)</f>
        <v>18</v>
      </c>
      <c r="U15" s="27" cm="1">
        <f t="array" ref="U15">_xlfn.SWITCH($E$5, $H$1, U34, $H$2, U45, $H$3, U56, $H$4, U67)</f>
        <v>25</v>
      </c>
      <c r="V15" s="27" cm="1">
        <f t="array" ref="V15">_xlfn.SWITCH($E$5, $H$1, V34, $H$2, V45, $H$3, V56, $H$4, V67)</f>
        <v>21</v>
      </c>
      <c r="W15" s="27" cm="1">
        <f t="array" ref="W15">_xlfn.SWITCH($E$5, $H$1, W34, $H$2, W45, $H$3, W56, $H$4, W67)</f>
        <v>20</v>
      </c>
      <c r="X15" s="27" cm="1">
        <f t="array" ref="X15">_xlfn.SWITCH($E$5, $H$1, X34, $H$2, X45, $H$3, X56, $H$4, X67)</f>
        <v>9800</v>
      </c>
      <c r="Y15" s="27" cm="1">
        <f t="array" ref="Y15">_xlfn.SWITCH($E$5, $H$1, Y34, $H$2, Y45, $H$3, Y56, $H$4, Y67)</f>
        <v>8000</v>
      </c>
      <c r="Z15" s="27" cm="1">
        <f t="array" ref="Z15">_xlfn.SWITCH($E$5, $H$1, Z34, $H$2, Z45, $H$3, Z56, $H$4, Z67)</f>
        <v>7500</v>
      </c>
      <c r="AA15" s="27" cm="1">
        <f t="array" ref="AA15">_xlfn.SWITCH($E$5, $H$1, AA34, $H$2, AA45, $H$3, AA56, $H$4, AA67)</f>
        <v>326.67</v>
      </c>
      <c r="AB15" s="27" cm="1">
        <f t="array" ref="AB15">_xlfn.SWITCH($E$5, $H$1, AB34, $H$2, AB45, $H$3, AB56, $H$4, AB67)</f>
        <v>500</v>
      </c>
      <c r="AC15" s="27" cm="1">
        <f t="array" ref="AC15">_xlfn.SWITCH($E$5, $H$1, AC34, $H$2, AC45, $H$3, AC56, $H$4, AC67)</f>
        <v>416.67</v>
      </c>
      <c r="AD15" s="27" cm="1">
        <f t="array" ref="AD15">_xlfn.SWITCH($E$5, $H$1, AD34, $H$2, AD45, $H$3, AD56, $H$4, AD67)</f>
        <v>350</v>
      </c>
      <c r="AE15" s="27" cm="1">
        <f t="array" ref="AE15">_xlfn.SWITCH($E$5, $H$1, AE34, $H$2, AE45, $H$3, AE56, $H$4, AE67)</f>
        <v>450</v>
      </c>
      <c r="AF15" s="27" cm="1">
        <f t="array" ref="AF15">_xlfn.SWITCH($E$5, $H$1, AF34, $H$2, AF45, $H$3, AF56, $H$4, AF67)</f>
        <v>350</v>
      </c>
      <c r="AG15" s="27" cm="1">
        <f t="array" ref="AG15">_xlfn.SWITCH($E$5, $H$1, AG34, $H$2, AG45, $H$3, AG56, $H$4, AG67)</f>
        <v>385</v>
      </c>
      <c r="AH15" s="27" cm="1">
        <f t="array" ref="AH15">_xlfn.SWITCH($E$5, $H$1, AH34, $H$2, AH45, $H$3, AH56, $H$4, AH67)</f>
        <v>350</v>
      </c>
      <c r="AI15" s="27" cm="1">
        <f t="array" ref="AI15">_xlfn.SWITCH($E$5, $H$1, AI34, $H$2, AI45, $H$3, AI56, $H$4, AI67)</f>
        <v>410</v>
      </c>
      <c r="AJ15" s="27" cm="1">
        <f t="array" ref="AJ15">_xlfn.SWITCH($E$5, $H$1, AJ34, $H$2, AJ45, $H$3, AJ56, $H$4, AJ67)</f>
        <v>2153.85</v>
      </c>
      <c r="AK15" s="27" cm="1">
        <f t="array" ref="AK15">_xlfn.SWITCH($E$5, $H$1, AK34, $H$2, AK45, $H$3, AK56, $H$4, AK67)</f>
        <v>3400</v>
      </c>
      <c r="AL15" s="27" cm="1">
        <f t="array" ref="AL15">_xlfn.SWITCH($E$5, $H$1, AL34, $H$2, AL45, $H$3, AL56, $H$4, AL67)</f>
        <v>2214.29</v>
      </c>
      <c r="AM15" s="27" cm="1">
        <f t="array" ref="AM15">_xlfn.SWITCH($E$5, $H$1, AM34, $H$2, AM45, $H$3, AM56, $H$4, AM67)</f>
        <v>1900</v>
      </c>
      <c r="AN15" s="27" cm="1">
        <f t="array" ref="AN15">_xlfn.SWITCH($E$5, $H$1, AN34, $H$2, AN45, $H$3, AN56, $H$4, AN67)</f>
        <v>3000</v>
      </c>
      <c r="AO15" s="27" cm="1">
        <f t="array" ref="AO15">_xlfn.SWITCH($E$5, $H$1, AO34, $H$2, AO45, $H$3, AO56, $H$4, AO67)</f>
        <v>2100</v>
      </c>
      <c r="AP15" s="27" cm="1">
        <f t="array" ref="AP15">_xlfn.SWITCH($E$5, $H$1, AP34, $H$2, AP45, $H$3, AP56, $H$4, AP67)</f>
        <v>2200</v>
      </c>
      <c r="AQ15" s="27" cm="1">
        <f t="array" ref="AQ15">_xlfn.SWITCH($E$5, $H$1, AQ34, $H$2, AQ45, $H$3, AQ56, $H$4, AQ67)</f>
        <v>2300</v>
      </c>
      <c r="AR15" s="27" cm="1">
        <f t="array" ref="AR15">_xlfn.SWITCH($E$5, $H$1, AR34, $H$2, AR45, $H$3, AR56, $H$4, AR67)</f>
        <v>2500</v>
      </c>
    </row>
    <row r="16" spans="1:44" ht="18.600000000000001" thickBot="1">
      <c r="A16" s="25"/>
      <c r="B16" s="28" t="s">
        <v>30</v>
      </c>
      <c r="C16" s="29">
        <f t="shared" ref="C16:Z16" si="0">SUM(C11:C15)</f>
        <v>780000</v>
      </c>
      <c r="D16" s="30">
        <f>SUM(D11:D15)</f>
        <v>745000</v>
      </c>
      <c r="E16" s="31">
        <f t="shared" si="0"/>
        <v>760000</v>
      </c>
      <c r="F16" s="32">
        <f t="shared" si="0"/>
        <v>800000</v>
      </c>
      <c r="G16" s="33">
        <f t="shared" si="0"/>
        <v>725000</v>
      </c>
      <c r="H16" s="34">
        <f t="shared" si="0"/>
        <v>800000</v>
      </c>
      <c r="I16" s="29">
        <f t="shared" si="0"/>
        <v>715000</v>
      </c>
      <c r="J16" s="30">
        <f t="shared" si="0"/>
        <v>740000</v>
      </c>
      <c r="K16" s="31">
        <f t="shared" si="0"/>
        <v>690000</v>
      </c>
      <c r="L16" s="35">
        <f t="shared" si="0"/>
        <v>294</v>
      </c>
      <c r="M16" s="36">
        <f t="shared" si="0"/>
        <v>267</v>
      </c>
      <c r="N16" s="36">
        <f t="shared" si="0"/>
        <v>297</v>
      </c>
      <c r="O16" s="36">
        <f t="shared" si="0"/>
        <v>100</v>
      </c>
      <c r="P16" s="36">
        <f t="shared" si="0"/>
        <v>125</v>
      </c>
      <c r="Q16" s="36">
        <f t="shared" si="0"/>
        <v>175</v>
      </c>
      <c r="R16" s="36">
        <f t="shared" si="0"/>
        <v>102</v>
      </c>
      <c r="S16" s="36">
        <f t="shared" si="0"/>
        <v>100</v>
      </c>
      <c r="T16" s="36">
        <f t="shared" si="0"/>
        <v>99</v>
      </c>
      <c r="U16" s="36">
        <f t="shared" si="0"/>
        <v>102</v>
      </c>
      <c r="V16" s="36">
        <f t="shared" si="0"/>
        <v>91</v>
      </c>
      <c r="W16" s="36">
        <f t="shared" si="0"/>
        <v>87</v>
      </c>
      <c r="X16" s="36">
        <f t="shared" si="0"/>
        <v>38500</v>
      </c>
      <c r="Y16" s="36">
        <f t="shared" si="0"/>
        <v>35300</v>
      </c>
      <c r="Z16" s="36">
        <f t="shared" si="0"/>
        <v>32000</v>
      </c>
      <c r="AA16" s="36">
        <f t="shared" ref="AA16:AR16" si="1">AVERAGE(AA11:AA15)</f>
        <v>393.82</v>
      </c>
      <c r="AB16" s="36">
        <f t="shared" si="1"/>
        <v>363.63599999999997</v>
      </c>
      <c r="AC16" s="36">
        <f t="shared" si="1"/>
        <v>328.68</v>
      </c>
      <c r="AD16" s="36">
        <f t="shared" si="1"/>
        <v>350</v>
      </c>
      <c r="AE16" s="36">
        <f t="shared" si="1"/>
        <v>450</v>
      </c>
      <c r="AF16" s="36">
        <f t="shared" si="1"/>
        <v>350</v>
      </c>
      <c r="AG16" s="36">
        <f t="shared" si="1"/>
        <v>387</v>
      </c>
      <c r="AH16" s="36">
        <f t="shared" si="1"/>
        <v>371</v>
      </c>
      <c r="AI16" s="36">
        <f t="shared" si="1"/>
        <v>378</v>
      </c>
      <c r="AJ16" s="36">
        <f t="shared" si="1"/>
        <v>2709.0160000000001</v>
      </c>
      <c r="AK16" s="36">
        <f t="shared" si="1"/>
        <v>2854.7080000000001</v>
      </c>
      <c r="AL16" s="36">
        <f t="shared" si="1"/>
        <v>2571.576</v>
      </c>
      <c r="AM16" s="36">
        <f t="shared" si="1"/>
        <v>2440</v>
      </c>
      <c r="AN16" s="36">
        <f t="shared" si="1"/>
        <v>2620</v>
      </c>
      <c r="AO16" s="36">
        <f t="shared" si="1"/>
        <v>2298</v>
      </c>
      <c r="AP16" s="36">
        <f t="shared" si="1"/>
        <v>2200</v>
      </c>
      <c r="AQ16" s="36">
        <f t="shared" si="1"/>
        <v>2300</v>
      </c>
      <c r="AR16" s="36">
        <f t="shared" si="1"/>
        <v>2500</v>
      </c>
    </row>
    <row r="17" spans="1:44" ht="18.600000000000001" thickBot="1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spans="1:44" ht="21.6" thickBot="1">
      <c r="A18" s="39"/>
      <c r="B18" s="40" t="s">
        <v>31</v>
      </c>
      <c r="C18" s="39"/>
      <c r="D18" s="41">
        <f>SUM(C35:E35,C46:E46,C57:E57,C68:E68)</f>
        <v>9271500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 t="s">
        <v>66</v>
      </c>
      <c r="AP18" s="39"/>
      <c r="AQ18" s="39"/>
      <c r="AR18" s="39"/>
    </row>
    <row r="19" spans="1:44" ht="21">
      <c r="A19" s="39"/>
      <c r="B19" s="40" t="s">
        <v>32</v>
      </c>
      <c r="C19" s="39"/>
      <c r="D19" s="42">
        <f>SUM(L35:N35,L46:N46,L57:N57,L68:N68)</f>
        <v>3799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</row>
    <row r="20" spans="1:44" ht="21">
      <c r="A20" s="39"/>
      <c r="B20" s="40" t="s">
        <v>33</v>
      </c>
      <c r="C20" s="39"/>
      <c r="D20" s="42">
        <f>SUM(R35:T35,R46:T46,R57:T57,R68:T68)</f>
        <v>1228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</row>
    <row r="21" spans="1:44" ht="21">
      <c r="A21" s="39"/>
      <c r="B21" s="40" t="s">
        <v>34</v>
      </c>
      <c r="C21" s="39"/>
      <c r="D21" s="41">
        <f>D18/D19</f>
        <v>2440.5106607001844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spans="1:4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>
      <c r="A25" s="1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</row>
    <row r="26" spans="1:44">
      <c r="A26" s="44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5"/>
    </row>
    <row r="27" spans="1:44">
      <c r="A27" s="44"/>
      <c r="B27" s="45"/>
      <c r="C27" s="82" t="s">
        <v>35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4"/>
    </row>
    <row r="28" spans="1:44">
      <c r="A28" s="44"/>
      <c r="B28" s="45"/>
      <c r="C28" s="47" t="s">
        <v>36</v>
      </c>
      <c r="D28" s="47" t="s">
        <v>37</v>
      </c>
      <c r="E28" s="48" t="s">
        <v>38</v>
      </c>
      <c r="F28" s="47" t="s">
        <v>36</v>
      </c>
      <c r="G28" s="47" t="s">
        <v>37</v>
      </c>
      <c r="H28" s="48" t="s">
        <v>38</v>
      </c>
      <c r="I28" s="47" t="s">
        <v>36</v>
      </c>
      <c r="J28" s="47" t="s">
        <v>37</v>
      </c>
      <c r="K28" s="48" t="s">
        <v>38</v>
      </c>
      <c r="L28" s="47" t="s">
        <v>36</v>
      </c>
      <c r="M28" s="47" t="s">
        <v>37</v>
      </c>
      <c r="N28" s="48" t="s">
        <v>38</v>
      </c>
      <c r="O28" s="47" t="s">
        <v>36</v>
      </c>
      <c r="P28" s="47" t="s">
        <v>37</v>
      </c>
      <c r="Q28" s="48" t="s">
        <v>38</v>
      </c>
      <c r="R28" s="47" t="s">
        <v>36</v>
      </c>
      <c r="S28" s="47" t="s">
        <v>37</v>
      </c>
      <c r="T28" s="48" t="s">
        <v>38</v>
      </c>
      <c r="U28" s="47" t="s">
        <v>36</v>
      </c>
      <c r="V28" s="47" t="s">
        <v>37</v>
      </c>
      <c r="W28" s="48" t="s">
        <v>38</v>
      </c>
      <c r="X28" s="47" t="s">
        <v>36</v>
      </c>
      <c r="Y28" s="47" t="s">
        <v>37</v>
      </c>
      <c r="Z28" s="48" t="s">
        <v>38</v>
      </c>
      <c r="AA28" s="47" t="s">
        <v>36</v>
      </c>
      <c r="AB28" s="47" t="s">
        <v>37</v>
      </c>
      <c r="AC28" s="48" t="s">
        <v>38</v>
      </c>
      <c r="AD28" s="47" t="s">
        <v>36</v>
      </c>
      <c r="AE28" s="47" t="s">
        <v>37</v>
      </c>
      <c r="AF28" s="48" t="s">
        <v>38</v>
      </c>
      <c r="AG28" s="47" t="s">
        <v>36</v>
      </c>
      <c r="AH28" s="47" t="s">
        <v>37</v>
      </c>
      <c r="AI28" s="48" t="s">
        <v>38</v>
      </c>
      <c r="AJ28" s="47" t="s">
        <v>36</v>
      </c>
      <c r="AK28" s="47" t="s">
        <v>37</v>
      </c>
      <c r="AL28" s="48" t="s">
        <v>38</v>
      </c>
      <c r="AM28" s="47" t="s">
        <v>36</v>
      </c>
      <c r="AN28" s="47" t="s">
        <v>37</v>
      </c>
      <c r="AO28" s="48" t="s">
        <v>38</v>
      </c>
      <c r="AP28" s="47" t="s">
        <v>36</v>
      </c>
      <c r="AQ28" s="47" t="s">
        <v>37</v>
      </c>
      <c r="AR28" s="48" t="s">
        <v>38</v>
      </c>
    </row>
    <row r="29" spans="1:44" ht="41.4">
      <c r="A29" s="44"/>
      <c r="B29" s="45"/>
      <c r="C29" s="49" t="s">
        <v>11</v>
      </c>
      <c r="D29" s="49" t="s">
        <v>11</v>
      </c>
      <c r="E29" s="50" t="s">
        <v>11</v>
      </c>
      <c r="F29" s="49" t="s">
        <v>12</v>
      </c>
      <c r="G29" s="49" t="s">
        <v>12</v>
      </c>
      <c r="H29" s="50" t="s">
        <v>12</v>
      </c>
      <c r="I29" s="49" t="s">
        <v>13</v>
      </c>
      <c r="J29" s="49" t="s">
        <v>13</v>
      </c>
      <c r="K29" s="50" t="s">
        <v>13</v>
      </c>
      <c r="L29" s="49" t="s">
        <v>14</v>
      </c>
      <c r="M29" s="49" t="s">
        <v>14</v>
      </c>
      <c r="N29" s="50" t="s">
        <v>14</v>
      </c>
      <c r="O29" s="49" t="s">
        <v>15</v>
      </c>
      <c r="P29" s="49" t="s">
        <v>15</v>
      </c>
      <c r="Q29" s="50" t="s">
        <v>15</v>
      </c>
      <c r="R29" s="49" t="s">
        <v>16</v>
      </c>
      <c r="S29" s="49" t="s">
        <v>16</v>
      </c>
      <c r="T29" s="50" t="s">
        <v>16</v>
      </c>
      <c r="U29" s="49" t="s">
        <v>17</v>
      </c>
      <c r="V29" s="49" t="s">
        <v>17</v>
      </c>
      <c r="W29" s="50" t="s">
        <v>17</v>
      </c>
      <c r="X29" s="49" t="s">
        <v>18</v>
      </c>
      <c r="Y29" s="49" t="s">
        <v>18</v>
      </c>
      <c r="Z29" s="50" t="s">
        <v>18</v>
      </c>
      <c r="AA29" s="49" t="s">
        <v>19</v>
      </c>
      <c r="AB29" s="49" t="s">
        <v>19</v>
      </c>
      <c r="AC29" s="50" t="s">
        <v>19</v>
      </c>
      <c r="AD29" s="49" t="s">
        <v>20</v>
      </c>
      <c r="AE29" s="49" t="s">
        <v>20</v>
      </c>
      <c r="AF29" s="50" t="s">
        <v>20</v>
      </c>
      <c r="AG29" s="49" t="s">
        <v>21</v>
      </c>
      <c r="AH29" s="49" t="s">
        <v>21</v>
      </c>
      <c r="AI29" s="50" t="s">
        <v>21</v>
      </c>
      <c r="AJ29" s="49" t="s">
        <v>22</v>
      </c>
      <c r="AK29" s="49" t="s">
        <v>22</v>
      </c>
      <c r="AL29" s="50" t="s">
        <v>22</v>
      </c>
      <c r="AM29" s="49" t="s">
        <v>23</v>
      </c>
      <c r="AN29" s="49" t="s">
        <v>23</v>
      </c>
      <c r="AO29" s="50" t="s">
        <v>23</v>
      </c>
      <c r="AP29" s="49" t="s">
        <v>24</v>
      </c>
      <c r="AQ29" s="49" t="s">
        <v>24</v>
      </c>
      <c r="AR29" s="50" t="s">
        <v>24</v>
      </c>
    </row>
    <row r="30" spans="1:44" ht="17.399999999999999">
      <c r="A30" s="51"/>
      <c r="B30" s="51" t="s">
        <v>25</v>
      </c>
      <c r="C30" s="51">
        <v>135000</v>
      </c>
      <c r="D30" s="51">
        <v>130000</v>
      </c>
      <c r="E30" s="51">
        <v>160000</v>
      </c>
      <c r="F30" s="51">
        <v>150000</v>
      </c>
      <c r="G30" s="51">
        <v>140000</v>
      </c>
      <c r="H30" s="51">
        <v>150000</v>
      </c>
      <c r="I30" s="51">
        <v>115000</v>
      </c>
      <c r="J30" s="51">
        <v>140000</v>
      </c>
      <c r="K30" s="51">
        <v>160000</v>
      </c>
      <c r="L30" s="51">
        <v>57</v>
      </c>
      <c r="M30" s="51">
        <v>58</v>
      </c>
      <c r="N30" s="51">
        <v>63</v>
      </c>
      <c r="O30" s="51">
        <v>25</v>
      </c>
      <c r="P30" s="51">
        <v>20</v>
      </c>
      <c r="Q30" s="51">
        <v>25</v>
      </c>
      <c r="R30" s="51">
        <v>10</v>
      </c>
      <c r="S30" s="51">
        <v>11</v>
      </c>
      <c r="T30" s="51">
        <v>18</v>
      </c>
      <c r="U30" s="51">
        <v>9</v>
      </c>
      <c r="V30" s="51">
        <v>12</v>
      </c>
      <c r="W30" s="51">
        <v>14</v>
      </c>
      <c r="X30" s="51">
        <v>4200</v>
      </c>
      <c r="Y30" s="51">
        <v>5000</v>
      </c>
      <c r="Z30" s="51">
        <v>5500</v>
      </c>
      <c r="AA30" s="51">
        <v>420</v>
      </c>
      <c r="AB30" s="51">
        <v>454.55</v>
      </c>
      <c r="AC30" s="51">
        <v>305.56</v>
      </c>
      <c r="AD30" s="51">
        <v>350</v>
      </c>
      <c r="AE30" s="51">
        <v>350</v>
      </c>
      <c r="AF30" s="51">
        <v>350</v>
      </c>
      <c r="AG30" s="51">
        <v>400</v>
      </c>
      <c r="AH30" s="51">
        <v>385</v>
      </c>
      <c r="AI30" s="51">
        <v>390</v>
      </c>
      <c r="AJ30" s="51">
        <v>2192.98</v>
      </c>
      <c r="AK30" s="51">
        <v>2241.38</v>
      </c>
      <c r="AL30" s="51">
        <v>2539.6799999999998</v>
      </c>
      <c r="AM30" s="51">
        <v>2200</v>
      </c>
      <c r="AN30" s="51">
        <v>2100</v>
      </c>
      <c r="AO30" s="51">
        <v>2400</v>
      </c>
      <c r="AP30" s="51">
        <v>2500</v>
      </c>
      <c r="AQ30" s="51">
        <v>2600</v>
      </c>
      <c r="AR30" s="51">
        <v>2400</v>
      </c>
    </row>
    <row r="31" spans="1:44" ht="17.399999999999999">
      <c r="A31" s="51"/>
      <c r="B31" s="51" t="s">
        <v>26</v>
      </c>
      <c r="C31" s="51">
        <v>170000</v>
      </c>
      <c r="D31" s="51">
        <v>160000</v>
      </c>
      <c r="E31" s="51">
        <v>185000</v>
      </c>
      <c r="F31" s="51">
        <v>150000</v>
      </c>
      <c r="G31" s="51">
        <v>140000</v>
      </c>
      <c r="H31" s="51">
        <v>150000</v>
      </c>
      <c r="I31" s="51">
        <v>160000</v>
      </c>
      <c r="J31" s="51">
        <v>130000</v>
      </c>
      <c r="K31" s="51">
        <v>125000</v>
      </c>
      <c r="L31" s="51">
        <v>74</v>
      </c>
      <c r="M31" s="51">
        <v>70</v>
      </c>
      <c r="N31" s="51">
        <v>74</v>
      </c>
      <c r="O31" s="51">
        <v>25</v>
      </c>
      <c r="P31" s="51">
        <v>20</v>
      </c>
      <c r="Q31" s="51">
        <v>25</v>
      </c>
      <c r="R31" s="51">
        <v>22</v>
      </c>
      <c r="S31" s="51">
        <v>23</v>
      </c>
      <c r="T31" s="51">
        <v>26</v>
      </c>
      <c r="U31" s="51">
        <v>17</v>
      </c>
      <c r="V31" s="51">
        <v>24</v>
      </c>
      <c r="W31" s="51">
        <v>22</v>
      </c>
      <c r="X31" s="51">
        <v>7800</v>
      </c>
      <c r="Y31" s="51">
        <v>10000</v>
      </c>
      <c r="Z31" s="51">
        <v>9000</v>
      </c>
      <c r="AA31" s="51">
        <v>354.55</v>
      </c>
      <c r="AB31" s="51">
        <v>434.78</v>
      </c>
      <c r="AC31" s="51">
        <v>346.15</v>
      </c>
      <c r="AD31" s="51">
        <v>350</v>
      </c>
      <c r="AE31" s="51">
        <v>350</v>
      </c>
      <c r="AF31" s="51">
        <v>350</v>
      </c>
      <c r="AG31" s="51">
        <v>402</v>
      </c>
      <c r="AH31" s="51">
        <v>290</v>
      </c>
      <c r="AI31" s="51">
        <v>380</v>
      </c>
      <c r="AJ31" s="51">
        <v>2432.4299999999998</v>
      </c>
      <c r="AK31" s="51">
        <v>2285.71</v>
      </c>
      <c r="AL31" s="51">
        <v>2500</v>
      </c>
      <c r="AM31" s="51">
        <v>2100</v>
      </c>
      <c r="AN31" s="51">
        <v>2200</v>
      </c>
      <c r="AO31" s="51">
        <v>2300</v>
      </c>
      <c r="AP31" s="51">
        <v>2500</v>
      </c>
      <c r="AQ31" s="51">
        <v>2600</v>
      </c>
      <c r="AR31" s="51">
        <v>2400</v>
      </c>
    </row>
    <row r="32" spans="1:44" ht="17.399999999999999">
      <c r="A32" s="51"/>
      <c r="B32" s="51" t="s">
        <v>27</v>
      </c>
      <c r="C32" s="51">
        <v>175000</v>
      </c>
      <c r="D32" s="51">
        <v>135000</v>
      </c>
      <c r="E32" s="51">
        <v>145000</v>
      </c>
      <c r="F32" s="51">
        <v>150000</v>
      </c>
      <c r="G32" s="51">
        <v>140000</v>
      </c>
      <c r="H32" s="51">
        <v>150000</v>
      </c>
      <c r="I32" s="51">
        <v>170000</v>
      </c>
      <c r="J32" s="51">
        <v>145000</v>
      </c>
      <c r="K32" s="51">
        <v>130000</v>
      </c>
      <c r="L32" s="51">
        <v>70</v>
      </c>
      <c r="M32" s="51">
        <v>55</v>
      </c>
      <c r="N32" s="51">
        <v>61</v>
      </c>
      <c r="O32" s="51">
        <v>25</v>
      </c>
      <c r="P32" s="51">
        <v>20</v>
      </c>
      <c r="Q32" s="51">
        <v>25</v>
      </c>
      <c r="R32" s="51">
        <v>35</v>
      </c>
      <c r="S32" s="51">
        <v>20</v>
      </c>
      <c r="T32" s="51">
        <v>17</v>
      </c>
      <c r="U32" s="51">
        <v>36</v>
      </c>
      <c r="V32" s="51">
        <v>25</v>
      </c>
      <c r="W32" s="51">
        <v>21</v>
      </c>
      <c r="X32" s="51">
        <v>13200</v>
      </c>
      <c r="Y32" s="51">
        <v>9500</v>
      </c>
      <c r="Z32" s="51">
        <v>8300</v>
      </c>
      <c r="AA32" s="51">
        <v>377.14</v>
      </c>
      <c r="AB32" s="51">
        <v>475</v>
      </c>
      <c r="AC32" s="51">
        <v>488.24</v>
      </c>
      <c r="AD32" s="51">
        <v>350</v>
      </c>
      <c r="AE32" s="51">
        <v>350</v>
      </c>
      <c r="AF32" s="51">
        <v>350</v>
      </c>
      <c r="AG32" s="51">
        <v>350</v>
      </c>
      <c r="AH32" s="51">
        <v>385</v>
      </c>
      <c r="AI32" s="51">
        <v>352</v>
      </c>
      <c r="AJ32" s="51">
        <v>2428.5700000000002</v>
      </c>
      <c r="AK32" s="51">
        <v>2454.5500000000002</v>
      </c>
      <c r="AL32" s="51">
        <v>2377.0500000000002</v>
      </c>
      <c r="AM32" s="51">
        <v>2500</v>
      </c>
      <c r="AN32" s="51">
        <v>2500</v>
      </c>
      <c r="AO32" s="51">
        <v>2300</v>
      </c>
      <c r="AP32" s="51">
        <v>2500</v>
      </c>
      <c r="AQ32" s="51">
        <v>2600</v>
      </c>
      <c r="AR32" s="51">
        <v>2400</v>
      </c>
    </row>
    <row r="33" spans="1:44" ht="17.399999999999999">
      <c r="A33" s="51"/>
      <c r="B33" s="51" t="s">
        <v>28</v>
      </c>
      <c r="C33" s="51">
        <v>156000</v>
      </c>
      <c r="D33" s="51">
        <v>175000</v>
      </c>
      <c r="E33" s="51">
        <v>155000</v>
      </c>
      <c r="F33" s="51">
        <v>150000</v>
      </c>
      <c r="G33" s="51">
        <v>140000</v>
      </c>
      <c r="H33" s="51">
        <v>150000</v>
      </c>
      <c r="I33" s="51">
        <v>165000</v>
      </c>
      <c r="J33" s="51">
        <v>155000</v>
      </c>
      <c r="K33" s="51">
        <v>140000</v>
      </c>
      <c r="L33" s="51">
        <v>66</v>
      </c>
      <c r="M33" s="51">
        <v>68</v>
      </c>
      <c r="N33" s="51">
        <v>63</v>
      </c>
      <c r="O33" s="51">
        <v>25</v>
      </c>
      <c r="P33" s="51">
        <v>20</v>
      </c>
      <c r="Q33" s="51">
        <v>25</v>
      </c>
      <c r="R33" s="51">
        <v>18</v>
      </c>
      <c r="S33" s="51">
        <v>14</v>
      </c>
      <c r="T33" s="51">
        <v>24</v>
      </c>
      <c r="U33" s="51">
        <v>14</v>
      </c>
      <c r="V33" s="51">
        <v>25</v>
      </c>
      <c r="W33" s="51">
        <v>22</v>
      </c>
      <c r="X33" s="51">
        <v>6500</v>
      </c>
      <c r="Y33" s="51">
        <v>9000</v>
      </c>
      <c r="Z33" s="51">
        <v>8500</v>
      </c>
      <c r="AA33" s="51">
        <v>361.11</v>
      </c>
      <c r="AB33" s="51">
        <v>642.86</v>
      </c>
      <c r="AC33" s="51">
        <v>354.17</v>
      </c>
      <c r="AD33" s="51">
        <v>350</v>
      </c>
      <c r="AE33" s="51">
        <v>350</v>
      </c>
      <c r="AF33" s="51">
        <v>350</v>
      </c>
      <c r="AG33" s="51">
        <v>350</v>
      </c>
      <c r="AH33" s="51">
        <v>360</v>
      </c>
      <c r="AI33" s="51">
        <v>388</v>
      </c>
      <c r="AJ33" s="51">
        <v>2272.73</v>
      </c>
      <c r="AK33" s="51">
        <v>2573.5300000000002</v>
      </c>
      <c r="AL33" s="51">
        <v>2460.3200000000002</v>
      </c>
      <c r="AM33" s="51">
        <v>2200</v>
      </c>
      <c r="AN33" s="51">
        <v>2600</v>
      </c>
      <c r="AO33" s="51">
        <v>2400</v>
      </c>
      <c r="AP33" s="51">
        <v>2500</v>
      </c>
      <c r="AQ33" s="51">
        <v>2600</v>
      </c>
      <c r="AR33" s="51">
        <v>2400</v>
      </c>
    </row>
    <row r="34" spans="1:44" ht="17.399999999999999">
      <c r="A34" s="51"/>
      <c r="B34" s="51" t="s">
        <v>29</v>
      </c>
      <c r="C34" s="51">
        <v>135500</v>
      </c>
      <c r="D34" s="51">
        <v>190000</v>
      </c>
      <c r="E34" s="51">
        <v>140000</v>
      </c>
      <c r="F34" s="51">
        <v>150000</v>
      </c>
      <c r="G34" s="51">
        <v>140000</v>
      </c>
      <c r="H34" s="51">
        <v>150000</v>
      </c>
      <c r="I34" s="51">
        <v>155000</v>
      </c>
      <c r="J34" s="51">
        <v>120000</v>
      </c>
      <c r="K34" s="51">
        <v>150000</v>
      </c>
      <c r="L34" s="51">
        <v>71</v>
      </c>
      <c r="M34" s="51">
        <v>62</v>
      </c>
      <c r="N34" s="51">
        <v>51</v>
      </c>
      <c r="O34" s="51">
        <v>25</v>
      </c>
      <c r="P34" s="51">
        <v>20</v>
      </c>
      <c r="Q34" s="51">
        <v>25</v>
      </c>
      <c r="R34" s="51">
        <v>33</v>
      </c>
      <c r="S34" s="51">
        <v>20</v>
      </c>
      <c r="T34" s="51">
        <v>16</v>
      </c>
      <c r="U34" s="51">
        <v>20</v>
      </c>
      <c r="V34" s="51">
        <v>25</v>
      </c>
      <c r="W34" s="51">
        <v>24</v>
      </c>
      <c r="X34" s="51">
        <v>12100</v>
      </c>
      <c r="Y34" s="51">
        <v>10800</v>
      </c>
      <c r="Z34" s="51">
        <v>10500</v>
      </c>
      <c r="AA34" s="51">
        <v>366.67</v>
      </c>
      <c r="AB34" s="51">
        <v>540</v>
      </c>
      <c r="AC34" s="51">
        <v>656.25</v>
      </c>
      <c r="AD34" s="51">
        <v>350</v>
      </c>
      <c r="AE34" s="51">
        <v>350</v>
      </c>
      <c r="AF34" s="51">
        <v>350</v>
      </c>
      <c r="AG34" s="51">
        <v>385</v>
      </c>
      <c r="AH34" s="51">
        <v>350</v>
      </c>
      <c r="AI34" s="51">
        <v>406</v>
      </c>
      <c r="AJ34" s="51">
        <v>1901.41</v>
      </c>
      <c r="AK34" s="51">
        <v>3064.52</v>
      </c>
      <c r="AL34" s="51">
        <v>2745.1</v>
      </c>
      <c r="AM34" s="51">
        <v>2100</v>
      </c>
      <c r="AN34" s="51">
        <v>2800</v>
      </c>
      <c r="AO34" s="51">
        <v>2700</v>
      </c>
      <c r="AP34" s="51">
        <v>2500</v>
      </c>
      <c r="AQ34" s="51">
        <v>2600</v>
      </c>
      <c r="AR34" s="51">
        <v>2400</v>
      </c>
    </row>
    <row r="35" spans="1:44" ht="17.399999999999999">
      <c r="A35" s="52"/>
      <c r="B35" s="52" t="s">
        <v>30</v>
      </c>
      <c r="C35" s="52">
        <f t="shared" ref="C35:Z35" si="2">SUM(C30:C34)</f>
        <v>771500</v>
      </c>
      <c r="D35" s="52">
        <f t="shared" si="2"/>
        <v>790000</v>
      </c>
      <c r="E35" s="52">
        <f t="shared" si="2"/>
        <v>785000</v>
      </c>
      <c r="F35" s="52">
        <f t="shared" si="2"/>
        <v>750000</v>
      </c>
      <c r="G35" s="52">
        <f t="shared" si="2"/>
        <v>700000</v>
      </c>
      <c r="H35" s="52">
        <f t="shared" si="2"/>
        <v>750000</v>
      </c>
      <c r="I35" s="52">
        <f t="shared" si="2"/>
        <v>765000</v>
      </c>
      <c r="J35" s="52">
        <f t="shared" si="2"/>
        <v>690000</v>
      </c>
      <c r="K35" s="52">
        <f t="shared" si="2"/>
        <v>705000</v>
      </c>
      <c r="L35" s="52">
        <f t="shared" si="2"/>
        <v>338</v>
      </c>
      <c r="M35" s="52">
        <f t="shared" si="2"/>
        <v>313</v>
      </c>
      <c r="N35" s="52">
        <f t="shared" si="2"/>
        <v>312</v>
      </c>
      <c r="O35" s="52">
        <f t="shared" si="2"/>
        <v>125</v>
      </c>
      <c r="P35" s="52">
        <f t="shared" si="2"/>
        <v>100</v>
      </c>
      <c r="Q35" s="52">
        <f t="shared" si="2"/>
        <v>125</v>
      </c>
      <c r="R35" s="52">
        <f t="shared" si="2"/>
        <v>118</v>
      </c>
      <c r="S35" s="52">
        <f t="shared" si="2"/>
        <v>88</v>
      </c>
      <c r="T35" s="52">
        <f t="shared" si="2"/>
        <v>101</v>
      </c>
      <c r="U35" s="52">
        <f t="shared" si="2"/>
        <v>96</v>
      </c>
      <c r="V35" s="52">
        <f t="shared" si="2"/>
        <v>111</v>
      </c>
      <c r="W35" s="52">
        <f t="shared" si="2"/>
        <v>103</v>
      </c>
      <c r="X35" s="52">
        <f t="shared" si="2"/>
        <v>43800</v>
      </c>
      <c r="Y35" s="52">
        <f t="shared" si="2"/>
        <v>44300</v>
      </c>
      <c r="Z35" s="52">
        <f t="shared" si="2"/>
        <v>41800</v>
      </c>
      <c r="AA35" s="52">
        <f t="shared" ref="AA35:AR35" si="3">AVERAGE(AA30:AA34)</f>
        <v>375.89400000000006</v>
      </c>
      <c r="AB35" s="52">
        <f t="shared" si="3"/>
        <v>509.43799999999999</v>
      </c>
      <c r="AC35" s="52">
        <f t="shared" si="3"/>
        <v>430.07399999999996</v>
      </c>
      <c r="AD35" s="52">
        <f t="shared" si="3"/>
        <v>350</v>
      </c>
      <c r="AE35" s="52">
        <f t="shared" si="3"/>
        <v>350</v>
      </c>
      <c r="AF35" s="52">
        <f t="shared" si="3"/>
        <v>350</v>
      </c>
      <c r="AG35" s="52">
        <f t="shared" si="3"/>
        <v>377.4</v>
      </c>
      <c r="AH35" s="52">
        <f t="shared" si="3"/>
        <v>354</v>
      </c>
      <c r="AI35" s="52">
        <f t="shared" si="3"/>
        <v>383.2</v>
      </c>
      <c r="AJ35" s="52">
        <f t="shared" si="3"/>
        <v>2245.6239999999998</v>
      </c>
      <c r="AK35" s="52">
        <f t="shared" si="3"/>
        <v>2523.9380000000001</v>
      </c>
      <c r="AL35" s="52">
        <f t="shared" si="3"/>
        <v>2524.4300000000003</v>
      </c>
      <c r="AM35" s="52">
        <f t="shared" si="3"/>
        <v>2220</v>
      </c>
      <c r="AN35" s="52">
        <f t="shared" si="3"/>
        <v>2440</v>
      </c>
      <c r="AO35" s="52">
        <f t="shared" si="3"/>
        <v>2420</v>
      </c>
      <c r="AP35" s="52">
        <f t="shared" si="3"/>
        <v>2500</v>
      </c>
      <c r="AQ35" s="52">
        <f t="shared" si="3"/>
        <v>2600</v>
      </c>
      <c r="AR35" s="52">
        <f t="shared" si="3"/>
        <v>2400</v>
      </c>
    </row>
    <row r="36" spans="1:44">
      <c r="A36" s="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</row>
    <row r="37" spans="1:44">
      <c r="A37" s="44"/>
      <c r="B37" s="45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5"/>
    </row>
    <row r="38" spans="1:44">
      <c r="A38" s="44"/>
      <c r="B38" s="45"/>
      <c r="C38" s="82" t="s">
        <v>39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4"/>
    </row>
    <row r="39" spans="1:44">
      <c r="A39" s="44"/>
      <c r="B39" s="45"/>
      <c r="C39" s="47" t="s">
        <v>40</v>
      </c>
      <c r="D39" s="47" t="s">
        <v>41</v>
      </c>
      <c r="E39" s="48" t="s">
        <v>42</v>
      </c>
      <c r="F39" s="47" t="s">
        <v>40</v>
      </c>
      <c r="G39" s="47" t="s">
        <v>41</v>
      </c>
      <c r="H39" s="48" t="s">
        <v>42</v>
      </c>
      <c r="I39" s="47" t="s">
        <v>40</v>
      </c>
      <c r="J39" s="47" t="s">
        <v>41</v>
      </c>
      <c r="K39" s="48" t="s">
        <v>42</v>
      </c>
      <c r="L39" s="47" t="s">
        <v>40</v>
      </c>
      <c r="M39" s="47" t="s">
        <v>41</v>
      </c>
      <c r="N39" s="48" t="s">
        <v>42</v>
      </c>
      <c r="O39" s="47" t="s">
        <v>40</v>
      </c>
      <c r="P39" s="47" t="s">
        <v>41</v>
      </c>
      <c r="Q39" s="48" t="s">
        <v>42</v>
      </c>
      <c r="R39" s="47" t="s">
        <v>40</v>
      </c>
      <c r="S39" s="47" t="s">
        <v>41</v>
      </c>
      <c r="T39" s="48" t="s">
        <v>42</v>
      </c>
      <c r="U39" s="47" t="s">
        <v>40</v>
      </c>
      <c r="V39" s="47" t="s">
        <v>41</v>
      </c>
      <c r="W39" s="48" t="s">
        <v>42</v>
      </c>
      <c r="X39" s="47" t="s">
        <v>40</v>
      </c>
      <c r="Y39" s="47" t="s">
        <v>41</v>
      </c>
      <c r="Z39" s="48" t="s">
        <v>42</v>
      </c>
      <c r="AA39" s="47" t="s">
        <v>40</v>
      </c>
      <c r="AB39" s="47" t="s">
        <v>41</v>
      </c>
      <c r="AC39" s="48" t="s">
        <v>42</v>
      </c>
      <c r="AD39" s="47" t="s">
        <v>40</v>
      </c>
      <c r="AE39" s="47" t="s">
        <v>41</v>
      </c>
      <c r="AF39" s="48" t="s">
        <v>42</v>
      </c>
      <c r="AG39" s="47" t="s">
        <v>40</v>
      </c>
      <c r="AH39" s="47" t="s">
        <v>41</v>
      </c>
      <c r="AI39" s="48" t="s">
        <v>42</v>
      </c>
      <c r="AJ39" s="47" t="s">
        <v>40</v>
      </c>
      <c r="AK39" s="47" t="s">
        <v>41</v>
      </c>
      <c r="AL39" s="48" t="s">
        <v>42</v>
      </c>
      <c r="AM39" s="47" t="s">
        <v>40</v>
      </c>
      <c r="AN39" s="47" t="s">
        <v>41</v>
      </c>
      <c r="AO39" s="48" t="s">
        <v>42</v>
      </c>
      <c r="AP39" s="47" t="s">
        <v>40</v>
      </c>
      <c r="AQ39" s="47" t="s">
        <v>41</v>
      </c>
      <c r="AR39" s="48" t="s">
        <v>42</v>
      </c>
    </row>
    <row r="40" spans="1:44" ht="41.4">
      <c r="A40" s="44"/>
      <c r="B40" s="45"/>
      <c r="C40" s="49" t="s">
        <v>11</v>
      </c>
      <c r="D40" s="49" t="s">
        <v>11</v>
      </c>
      <c r="E40" s="50" t="s">
        <v>11</v>
      </c>
      <c r="F40" s="49" t="s">
        <v>12</v>
      </c>
      <c r="G40" s="49" t="s">
        <v>12</v>
      </c>
      <c r="H40" s="50" t="s">
        <v>12</v>
      </c>
      <c r="I40" s="49" t="s">
        <v>13</v>
      </c>
      <c r="J40" s="49" t="s">
        <v>13</v>
      </c>
      <c r="K40" s="50" t="s">
        <v>13</v>
      </c>
      <c r="L40" s="49" t="s">
        <v>14</v>
      </c>
      <c r="M40" s="49" t="s">
        <v>14</v>
      </c>
      <c r="N40" s="50" t="s">
        <v>14</v>
      </c>
      <c r="O40" s="49" t="s">
        <v>15</v>
      </c>
      <c r="P40" s="49" t="s">
        <v>15</v>
      </c>
      <c r="Q40" s="50" t="s">
        <v>15</v>
      </c>
      <c r="R40" s="49" t="s">
        <v>16</v>
      </c>
      <c r="S40" s="49" t="s">
        <v>16</v>
      </c>
      <c r="T40" s="50" t="s">
        <v>16</v>
      </c>
      <c r="U40" s="49" t="s">
        <v>17</v>
      </c>
      <c r="V40" s="49" t="s">
        <v>17</v>
      </c>
      <c r="W40" s="50" t="s">
        <v>17</v>
      </c>
      <c r="X40" s="49" t="s">
        <v>18</v>
      </c>
      <c r="Y40" s="49" t="s">
        <v>18</v>
      </c>
      <c r="Z40" s="50" t="s">
        <v>18</v>
      </c>
      <c r="AA40" s="49" t="s">
        <v>19</v>
      </c>
      <c r="AB40" s="49" t="s">
        <v>19</v>
      </c>
      <c r="AC40" s="50" t="s">
        <v>19</v>
      </c>
      <c r="AD40" s="49" t="s">
        <v>20</v>
      </c>
      <c r="AE40" s="49" t="s">
        <v>20</v>
      </c>
      <c r="AF40" s="50" t="s">
        <v>20</v>
      </c>
      <c r="AG40" s="49" t="s">
        <v>21</v>
      </c>
      <c r="AH40" s="49" t="s">
        <v>21</v>
      </c>
      <c r="AI40" s="50" t="s">
        <v>21</v>
      </c>
      <c r="AJ40" s="49" t="s">
        <v>22</v>
      </c>
      <c r="AK40" s="49" t="s">
        <v>22</v>
      </c>
      <c r="AL40" s="50" t="s">
        <v>22</v>
      </c>
      <c r="AM40" s="49" t="s">
        <v>23</v>
      </c>
      <c r="AN40" s="49" t="s">
        <v>23</v>
      </c>
      <c r="AO40" s="50" t="s">
        <v>23</v>
      </c>
      <c r="AP40" s="49" t="s">
        <v>24</v>
      </c>
      <c r="AQ40" s="49" t="s">
        <v>24</v>
      </c>
      <c r="AR40" s="50" t="s">
        <v>24</v>
      </c>
    </row>
    <row r="41" spans="1:44" ht="17.399999999999999">
      <c r="A41" s="51"/>
      <c r="B41" s="51" t="s">
        <v>25</v>
      </c>
      <c r="C41" s="51">
        <v>130000</v>
      </c>
      <c r="D41" s="51">
        <v>135000</v>
      </c>
      <c r="E41" s="51">
        <v>150000</v>
      </c>
      <c r="F41" s="51">
        <v>150000</v>
      </c>
      <c r="G41" s="51">
        <v>160000</v>
      </c>
      <c r="H41" s="51">
        <v>140000</v>
      </c>
      <c r="I41" s="51">
        <v>125000</v>
      </c>
      <c r="J41" s="51">
        <v>160000</v>
      </c>
      <c r="K41" s="51">
        <v>135000</v>
      </c>
      <c r="L41" s="51">
        <v>58</v>
      </c>
      <c r="M41" s="51">
        <v>63</v>
      </c>
      <c r="N41" s="51">
        <v>55</v>
      </c>
      <c r="O41" s="51">
        <v>30</v>
      </c>
      <c r="P41" s="51">
        <v>30</v>
      </c>
      <c r="Q41" s="51">
        <v>25</v>
      </c>
      <c r="R41" s="51">
        <v>12</v>
      </c>
      <c r="S41" s="51">
        <v>25</v>
      </c>
      <c r="T41" s="51">
        <v>11</v>
      </c>
      <c r="U41" s="51">
        <v>11</v>
      </c>
      <c r="V41" s="51">
        <v>21</v>
      </c>
      <c r="W41" s="51">
        <v>14</v>
      </c>
      <c r="X41" s="51">
        <v>5000</v>
      </c>
      <c r="Y41" s="51">
        <v>4500</v>
      </c>
      <c r="Z41" s="51">
        <v>5000</v>
      </c>
      <c r="AA41" s="51">
        <v>416.67</v>
      </c>
      <c r="AB41" s="51">
        <v>180</v>
      </c>
      <c r="AC41" s="51">
        <v>454.55</v>
      </c>
      <c r="AD41" s="51">
        <v>400</v>
      </c>
      <c r="AE41" s="51">
        <v>350</v>
      </c>
      <c r="AF41" s="51">
        <v>350</v>
      </c>
      <c r="AG41" s="51">
        <v>400</v>
      </c>
      <c r="AH41" s="51">
        <v>385</v>
      </c>
      <c r="AI41" s="51">
        <v>390</v>
      </c>
      <c r="AJ41" s="51">
        <v>2068.9699999999998</v>
      </c>
      <c r="AK41" s="51">
        <v>2142.86</v>
      </c>
      <c r="AL41" s="51">
        <v>2727.27</v>
      </c>
      <c r="AM41" s="51">
        <v>2100</v>
      </c>
      <c r="AN41" s="51">
        <v>2000</v>
      </c>
      <c r="AO41" s="51">
        <v>2600</v>
      </c>
      <c r="AP41" s="51">
        <v>2700</v>
      </c>
      <c r="AQ41" s="51">
        <v>2500</v>
      </c>
      <c r="AR41" s="51">
        <v>2600</v>
      </c>
    </row>
    <row r="42" spans="1:44" ht="17.399999999999999">
      <c r="A42" s="51"/>
      <c r="B42" s="51" t="s">
        <v>26</v>
      </c>
      <c r="C42" s="51">
        <v>175000</v>
      </c>
      <c r="D42" s="51">
        <v>155000</v>
      </c>
      <c r="E42" s="51">
        <v>190000</v>
      </c>
      <c r="F42" s="51">
        <v>150000</v>
      </c>
      <c r="G42" s="51">
        <v>160000</v>
      </c>
      <c r="H42" s="51">
        <v>140000</v>
      </c>
      <c r="I42" s="51">
        <v>145000</v>
      </c>
      <c r="J42" s="51">
        <v>125000</v>
      </c>
      <c r="K42" s="51">
        <v>125000</v>
      </c>
      <c r="L42" s="51">
        <v>70</v>
      </c>
      <c r="M42" s="51">
        <v>74</v>
      </c>
      <c r="N42" s="51">
        <v>65</v>
      </c>
      <c r="O42" s="51">
        <v>30</v>
      </c>
      <c r="P42" s="51">
        <v>30</v>
      </c>
      <c r="Q42" s="51">
        <v>25</v>
      </c>
      <c r="R42" s="51">
        <v>26</v>
      </c>
      <c r="S42" s="51">
        <v>18</v>
      </c>
      <c r="T42" s="51">
        <v>23</v>
      </c>
      <c r="U42" s="51">
        <v>17</v>
      </c>
      <c r="V42" s="51">
        <v>18</v>
      </c>
      <c r="W42" s="51">
        <v>15</v>
      </c>
      <c r="X42" s="51">
        <v>9800</v>
      </c>
      <c r="Y42" s="51">
        <v>9800</v>
      </c>
      <c r="Z42" s="51">
        <v>6500</v>
      </c>
      <c r="AA42" s="51">
        <v>376.92</v>
      </c>
      <c r="AB42" s="51">
        <v>544.44000000000005</v>
      </c>
      <c r="AC42" s="51">
        <v>282.61</v>
      </c>
      <c r="AD42" s="51">
        <v>400</v>
      </c>
      <c r="AE42" s="51">
        <v>350</v>
      </c>
      <c r="AF42" s="51">
        <v>350</v>
      </c>
      <c r="AG42" s="51">
        <v>402</v>
      </c>
      <c r="AH42" s="51">
        <v>290</v>
      </c>
      <c r="AI42" s="51">
        <v>380</v>
      </c>
      <c r="AJ42" s="51">
        <v>2500</v>
      </c>
      <c r="AK42" s="51">
        <v>2094.59</v>
      </c>
      <c r="AL42" s="51">
        <v>2923.08</v>
      </c>
      <c r="AM42" s="51">
        <v>2200</v>
      </c>
      <c r="AN42" s="51">
        <v>2000</v>
      </c>
      <c r="AO42" s="51">
        <v>2200</v>
      </c>
      <c r="AP42" s="51">
        <v>2700</v>
      </c>
      <c r="AQ42" s="51">
        <v>2500</v>
      </c>
      <c r="AR42" s="51">
        <v>2600</v>
      </c>
    </row>
    <row r="43" spans="1:44" ht="17.399999999999999">
      <c r="A43" s="51"/>
      <c r="B43" s="51" t="s">
        <v>27</v>
      </c>
      <c r="C43" s="51">
        <v>180000</v>
      </c>
      <c r="D43" s="51">
        <v>145000</v>
      </c>
      <c r="E43" s="51">
        <v>155000</v>
      </c>
      <c r="F43" s="51">
        <v>150000</v>
      </c>
      <c r="G43" s="51">
        <v>160000</v>
      </c>
      <c r="H43" s="51">
        <v>140000</v>
      </c>
      <c r="I43" s="51">
        <v>155000</v>
      </c>
      <c r="J43" s="51">
        <v>130000</v>
      </c>
      <c r="K43" s="51">
        <v>125000</v>
      </c>
      <c r="L43" s="51">
        <v>55</v>
      </c>
      <c r="M43" s="51">
        <v>61</v>
      </c>
      <c r="N43" s="51">
        <v>44</v>
      </c>
      <c r="O43" s="51">
        <v>30</v>
      </c>
      <c r="P43" s="51">
        <v>30</v>
      </c>
      <c r="Q43" s="51">
        <v>25</v>
      </c>
      <c r="R43" s="51">
        <v>31</v>
      </c>
      <c r="S43" s="51">
        <v>25</v>
      </c>
      <c r="T43" s="51">
        <v>20</v>
      </c>
      <c r="U43" s="51">
        <v>25</v>
      </c>
      <c r="V43" s="51">
        <v>21</v>
      </c>
      <c r="W43" s="51">
        <v>22</v>
      </c>
      <c r="X43" s="51">
        <v>9500</v>
      </c>
      <c r="Y43" s="51">
        <v>10200</v>
      </c>
      <c r="Z43" s="51">
        <v>8000</v>
      </c>
      <c r="AA43" s="51">
        <v>306.45</v>
      </c>
      <c r="AB43" s="51">
        <v>408</v>
      </c>
      <c r="AC43" s="51">
        <v>400</v>
      </c>
      <c r="AD43" s="51">
        <v>400</v>
      </c>
      <c r="AE43" s="51">
        <v>350</v>
      </c>
      <c r="AF43" s="51">
        <v>350</v>
      </c>
      <c r="AG43" s="51">
        <v>350</v>
      </c>
      <c r="AH43" s="51">
        <v>385</v>
      </c>
      <c r="AI43" s="51">
        <v>352</v>
      </c>
      <c r="AJ43" s="51">
        <v>3272.73</v>
      </c>
      <c r="AK43" s="51">
        <v>2377.0500000000002</v>
      </c>
      <c r="AL43" s="51">
        <v>3522.73</v>
      </c>
      <c r="AM43" s="51">
        <v>3000</v>
      </c>
      <c r="AN43" s="51">
        <v>2200</v>
      </c>
      <c r="AO43" s="51">
        <v>2100</v>
      </c>
      <c r="AP43" s="51">
        <v>2700</v>
      </c>
      <c r="AQ43" s="51">
        <v>2500</v>
      </c>
      <c r="AR43" s="51">
        <v>2600</v>
      </c>
    </row>
    <row r="44" spans="1:44" ht="17.399999999999999">
      <c r="A44" s="51"/>
      <c r="B44" s="51" t="s">
        <v>28</v>
      </c>
      <c r="C44" s="51">
        <v>160000</v>
      </c>
      <c r="D44" s="51">
        <v>180000</v>
      </c>
      <c r="E44" s="51">
        <v>175000</v>
      </c>
      <c r="F44" s="51">
        <v>150000</v>
      </c>
      <c r="G44" s="51">
        <v>160000</v>
      </c>
      <c r="H44" s="51">
        <v>140000</v>
      </c>
      <c r="I44" s="51">
        <v>145000</v>
      </c>
      <c r="J44" s="51">
        <v>140000</v>
      </c>
      <c r="K44" s="51">
        <v>160000</v>
      </c>
      <c r="L44" s="51">
        <v>68</v>
      </c>
      <c r="M44" s="51">
        <v>63</v>
      </c>
      <c r="N44" s="51">
        <v>50</v>
      </c>
      <c r="O44" s="51">
        <v>30</v>
      </c>
      <c r="P44" s="51">
        <v>30</v>
      </c>
      <c r="Q44" s="51">
        <v>25</v>
      </c>
      <c r="R44" s="51">
        <v>28</v>
      </c>
      <c r="S44" s="51">
        <v>15</v>
      </c>
      <c r="T44" s="51">
        <v>14</v>
      </c>
      <c r="U44" s="51">
        <v>17</v>
      </c>
      <c r="V44" s="51">
        <v>18</v>
      </c>
      <c r="W44" s="51">
        <v>21</v>
      </c>
      <c r="X44" s="51">
        <v>9000</v>
      </c>
      <c r="Y44" s="51">
        <v>5600</v>
      </c>
      <c r="Z44" s="51">
        <v>7000</v>
      </c>
      <c r="AA44" s="51">
        <v>321.43</v>
      </c>
      <c r="AB44" s="51">
        <v>373.33</v>
      </c>
      <c r="AC44" s="51">
        <v>500</v>
      </c>
      <c r="AD44" s="51">
        <v>400</v>
      </c>
      <c r="AE44" s="51">
        <v>350</v>
      </c>
      <c r="AF44" s="51">
        <v>350</v>
      </c>
      <c r="AG44" s="51">
        <v>350</v>
      </c>
      <c r="AH44" s="51">
        <v>360</v>
      </c>
      <c r="AI44" s="51">
        <v>388</v>
      </c>
      <c r="AJ44" s="51">
        <v>2352.94</v>
      </c>
      <c r="AK44" s="51">
        <v>2857.14</v>
      </c>
      <c r="AL44" s="51">
        <v>3500</v>
      </c>
      <c r="AM44" s="51">
        <v>2200</v>
      </c>
      <c r="AN44" s="51">
        <v>2450</v>
      </c>
      <c r="AO44" s="51">
        <v>3300</v>
      </c>
      <c r="AP44" s="51">
        <v>2700</v>
      </c>
      <c r="AQ44" s="51">
        <v>2500</v>
      </c>
      <c r="AR44" s="51">
        <v>2600</v>
      </c>
    </row>
    <row r="45" spans="1:44" ht="17.399999999999999">
      <c r="A45" s="51"/>
      <c r="B45" s="51" t="s">
        <v>29</v>
      </c>
      <c r="C45" s="51">
        <v>205000</v>
      </c>
      <c r="D45" s="51">
        <v>195000</v>
      </c>
      <c r="E45" s="51">
        <v>125000</v>
      </c>
      <c r="F45" s="51">
        <v>150000</v>
      </c>
      <c r="G45" s="51">
        <v>160000</v>
      </c>
      <c r="H45" s="51">
        <v>140000</v>
      </c>
      <c r="I45" s="51">
        <v>125000</v>
      </c>
      <c r="J45" s="51">
        <v>150000</v>
      </c>
      <c r="K45" s="51">
        <v>145000</v>
      </c>
      <c r="L45" s="51">
        <v>62</v>
      </c>
      <c r="M45" s="51">
        <v>51</v>
      </c>
      <c r="N45" s="51">
        <v>35</v>
      </c>
      <c r="O45" s="51">
        <v>30</v>
      </c>
      <c r="P45" s="51">
        <v>30</v>
      </c>
      <c r="Q45" s="51">
        <v>25</v>
      </c>
      <c r="R45" s="51">
        <v>25</v>
      </c>
      <c r="S45" s="51">
        <v>18</v>
      </c>
      <c r="T45" s="51">
        <v>20</v>
      </c>
      <c r="U45" s="51">
        <v>20</v>
      </c>
      <c r="V45" s="51">
        <v>13</v>
      </c>
      <c r="W45" s="51">
        <v>20</v>
      </c>
      <c r="X45" s="51">
        <v>10800</v>
      </c>
      <c r="Y45" s="51">
        <v>9500</v>
      </c>
      <c r="Z45" s="51">
        <v>9000</v>
      </c>
      <c r="AA45" s="51">
        <v>432</v>
      </c>
      <c r="AB45" s="51">
        <v>527.78</v>
      </c>
      <c r="AC45" s="51">
        <v>450</v>
      </c>
      <c r="AD45" s="51">
        <v>400</v>
      </c>
      <c r="AE45" s="51">
        <v>350</v>
      </c>
      <c r="AF45" s="51">
        <v>350</v>
      </c>
      <c r="AG45" s="51">
        <v>385</v>
      </c>
      <c r="AH45" s="51">
        <v>350</v>
      </c>
      <c r="AI45" s="51">
        <v>406</v>
      </c>
      <c r="AJ45" s="51">
        <v>3306.45</v>
      </c>
      <c r="AK45" s="51">
        <v>3823.53</v>
      </c>
      <c r="AL45" s="51">
        <v>3571.43</v>
      </c>
      <c r="AM45" s="51">
        <v>2900</v>
      </c>
      <c r="AN45" s="51">
        <v>3100</v>
      </c>
      <c r="AO45" s="51">
        <v>3100</v>
      </c>
      <c r="AP45" s="51">
        <v>2700</v>
      </c>
      <c r="AQ45" s="51">
        <v>2500</v>
      </c>
      <c r="AR45" s="51">
        <v>2600</v>
      </c>
    </row>
    <row r="46" spans="1:44" ht="17.399999999999999">
      <c r="A46" s="52"/>
      <c r="B46" s="52" t="s">
        <v>30</v>
      </c>
      <c r="C46" s="52">
        <f t="shared" ref="C46:Z46" si="4">SUM(C41:C45)</f>
        <v>850000</v>
      </c>
      <c r="D46" s="52">
        <f t="shared" si="4"/>
        <v>810000</v>
      </c>
      <c r="E46" s="52">
        <f t="shared" si="4"/>
        <v>795000</v>
      </c>
      <c r="F46" s="52">
        <f t="shared" si="4"/>
        <v>750000</v>
      </c>
      <c r="G46" s="52">
        <f t="shared" si="4"/>
        <v>800000</v>
      </c>
      <c r="H46" s="52">
        <f t="shared" si="4"/>
        <v>700000</v>
      </c>
      <c r="I46" s="52">
        <f t="shared" si="4"/>
        <v>695000</v>
      </c>
      <c r="J46" s="52">
        <f t="shared" si="4"/>
        <v>705000</v>
      </c>
      <c r="K46" s="52">
        <f t="shared" si="4"/>
        <v>690000</v>
      </c>
      <c r="L46" s="52">
        <f t="shared" si="4"/>
        <v>313</v>
      </c>
      <c r="M46" s="52">
        <f t="shared" si="4"/>
        <v>312</v>
      </c>
      <c r="N46" s="52">
        <f t="shared" si="4"/>
        <v>249</v>
      </c>
      <c r="O46" s="52">
        <f t="shared" si="4"/>
        <v>150</v>
      </c>
      <c r="P46" s="52">
        <f t="shared" si="4"/>
        <v>150</v>
      </c>
      <c r="Q46" s="52">
        <f t="shared" si="4"/>
        <v>125</v>
      </c>
      <c r="R46" s="52">
        <f t="shared" si="4"/>
        <v>122</v>
      </c>
      <c r="S46" s="52">
        <f t="shared" si="4"/>
        <v>101</v>
      </c>
      <c r="T46" s="52">
        <f t="shared" si="4"/>
        <v>88</v>
      </c>
      <c r="U46" s="52">
        <f t="shared" si="4"/>
        <v>90</v>
      </c>
      <c r="V46" s="52">
        <f t="shared" si="4"/>
        <v>91</v>
      </c>
      <c r="W46" s="52">
        <f t="shared" si="4"/>
        <v>92</v>
      </c>
      <c r="X46" s="52">
        <f t="shared" si="4"/>
        <v>44100</v>
      </c>
      <c r="Y46" s="52">
        <f t="shared" si="4"/>
        <v>39600</v>
      </c>
      <c r="Z46" s="52">
        <f t="shared" si="4"/>
        <v>35500</v>
      </c>
      <c r="AA46" s="52">
        <f t="shared" ref="AA46:AR46" si="5">AVERAGE(AA41:AA45)</f>
        <v>370.69400000000002</v>
      </c>
      <c r="AB46" s="52">
        <f t="shared" si="5"/>
        <v>406.71</v>
      </c>
      <c r="AC46" s="52">
        <f t="shared" si="5"/>
        <v>417.43199999999996</v>
      </c>
      <c r="AD46" s="52">
        <f t="shared" si="5"/>
        <v>400</v>
      </c>
      <c r="AE46" s="52">
        <f t="shared" si="5"/>
        <v>350</v>
      </c>
      <c r="AF46" s="52">
        <f t="shared" si="5"/>
        <v>350</v>
      </c>
      <c r="AG46" s="52">
        <f t="shared" si="5"/>
        <v>377.4</v>
      </c>
      <c r="AH46" s="52">
        <f t="shared" si="5"/>
        <v>354</v>
      </c>
      <c r="AI46" s="52">
        <f t="shared" si="5"/>
        <v>383.2</v>
      </c>
      <c r="AJ46" s="52">
        <f t="shared" si="5"/>
        <v>2700.2179999999998</v>
      </c>
      <c r="AK46" s="52">
        <f t="shared" si="5"/>
        <v>2659.0340000000006</v>
      </c>
      <c r="AL46" s="52">
        <f t="shared" si="5"/>
        <v>3248.902</v>
      </c>
      <c r="AM46" s="52">
        <f t="shared" si="5"/>
        <v>2480</v>
      </c>
      <c r="AN46" s="52">
        <f t="shared" si="5"/>
        <v>2350</v>
      </c>
      <c r="AO46" s="52">
        <f t="shared" si="5"/>
        <v>2660</v>
      </c>
      <c r="AP46" s="52">
        <f t="shared" si="5"/>
        <v>2700</v>
      </c>
      <c r="AQ46" s="52">
        <f t="shared" si="5"/>
        <v>2500</v>
      </c>
      <c r="AR46" s="52">
        <f t="shared" si="5"/>
        <v>2600</v>
      </c>
    </row>
    <row r="47" spans="1:44">
      <c r="A47" s="1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</row>
    <row r="48" spans="1:44">
      <c r="A48" s="44"/>
      <c r="B48" s="45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5"/>
    </row>
    <row r="49" spans="1:44">
      <c r="A49" s="44"/>
      <c r="B49" s="45"/>
      <c r="C49" s="82" t="s">
        <v>43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4"/>
    </row>
    <row r="50" spans="1:44">
      <c r="A50" s="44"/>
      <c r="B50" s="45"/>
      <c r="C50" s="47" t="s">
        <v>44</v>
      </c>
      <c r="D50" s="47" t="s">
        <v>45</v>
      </c>
      <c r="E50" s="48" t="s">
        <v>46</v>
      </c>
      <c r="F50" s="47" t="s">
        <v>44</v>
      </c>
      <c r="G50" s="47" t="s">
        <v>45</v>
      </c>
      <c r="H50" s="48" t="s">
        <v>46</v>
      </c>
      <c r="I50" s="47" t="s">
        <v>44</v>
      </c>
      <c r="J50" s="47" t="s">
        <v>45</v>
      </c>
      <c r="K50" s="48" t="s">
        <v>46</v>
      </c>
      <c r="L50" s="47" t="s">
        <v>44</v>
      </c>
      <c r="M50" s="47" t="s">
        <v>45</v>
      </c>
      <c r="N50" s="48" t="s">
        <v>46</v>
      </c>
      <c r="O50" s="47" t="s">
        <v>44</v>
      </c>
      <c r="P50" s="47" t="s">
        <v>45</v>
      </c>
      <c r="Q50" s="48" t="s">
        <v>46</v>
      </c>
      <c r="R50" s="47" t="s">
        <v>44</v>
      </c>
      <c r="S50" s="47" t="s">
        <v>45</v>
      </c>
      <c r="T50" s="48" t="s">
        <v>46</v>
      </c>
      <c r="U50" s="47" t="s">
        <v>44</v>
      </c>
      <c r="V50" s="47" t="s">
        <v>45</v>
      </c>
      <c r="W50" s="48" t="s">
        <v>46</v>
      </c>
      <c r="X50" s="47" t="s">
        <v>44</v>
      </c>
      <c r="Y50" s="47" t="s">
        <v>45</v>
      </c>
      <c r="Z50" s="48" t="s">
        <v>46</v>
      </c>
      <c r="AA50" s="47" t="s">
        <v>44</v>
      </c>
      <c r="AB50" s="47" t="s">
        <v>45</v>
      </c>
      <c r="AC50" s="48" t="s">
        <v>46</v>
      </c>
      <c r="AD50" s="47" t="s">
        <v>44</v>
      </c>
      <c r="AE50" s="47" t="s">
        <v>45</v>
      </c>
      <c r="AF50" s="48" t="s">
        <v>46</v>
      </c>
      <c r="AG50" s="47" t="s">
        <v>44</v>
      </c>
      <c r="AH50" s="47" t="s">
        <v>45</v>
      </c>
      <c r="AI50" s="48" t="s">
        <v>46</v>
      </c>
      <c r="AJ50" s="47" t="s">
        <v>44</v>
      </c>
      <c r="AK50" s="47" t="s">
        <v>45</v>
      </c>
      <c r="AL50" s="48" t="s">
        <v>46</v>
      </c>
      <c r="AM50" s="47" t="s">
        <v>44</v>
      </c>
      <c r="AN50" s="47" t="s">
        <v>45</v>
      </c>
      <c r="AO50" s="48" t="s">
        <v>46</v>
      </c>
      <c r="AP50" s="47" t="s">
        <v>44</v>
      </c>
      <c r="AQ50" s="47" t="s">
        <v>45</v>
      </c>
      <c r="AR50" s="48" t="s">
        <v>46</v>
      </c>
    </row>
    <row r="51" spans="1:44" ht="41.4">
      <c r="A51" s="44"/>
      <c r="B51" s="45"/>
      <c r="C51" s="49" t="s">
        <v>11</v>
      </c>
      <c r="D51" s="49" t="s">
        <v>11</v>
      </c>
      <c r="E51" s="50" t="s">
        <v>11</v>
      </c>
      <c r="F51" s="49" t="s">
        <v>12</v>
      </c>
      <c r="G51" s="49" t="s">
        <v>12</v>
      </c>
      <c r="H51" s="50" t="s">
        <v>12</v>
      </c>
      <c r="I51" s="49" t="s">
        <v>13</v>
      </c>
      <c r="J51" s="49" t="s">
        <v>13</v>
      </c>
      <c r="K51" s="50" t="s">
        <v>13</v>
      </c>
      <c r="L51" s="49" t="s">
        <v>14</v>
      </c>
      <c r="M51" s="49" t="s">
        <v>14</v>
      </c>
      <c r="N51" s="50" t="s">
        <v>14</v>
      </c>
      <c r="O51" s="49" t="s">
        <v>15</v>
      </c>
      <c r="P51" s="49" t="s">
        <v>15</v>
      </c>
      <c r="Q51" s="50" t="s">
        <v>15</v>
      </c>
      <c r="R51" s="49" t="s">
        <v>16</v>
      </c>
      <c r="S51" s="49" t="s">
        <v>16</v>
      </c>
      <c r="T51" s="50" t="s">
        <v>16</v>
      </c>
      <c r="U51" s="49" t="s">
        <v>17</v>
      </c>
      <c r="V51" s="49" t="s">
        <v>17</v>
      </c>
      <c r="W51" s="50" t="s">
        <v>17</v>
      </c>
      <c r="X51" s="49" t="s">
        <v>18</v>
      </c>
      <c r="Y51" s="49" t="s">
        <v>18</v>
      </c>
      <c r="Z51" s="50" t="s">
        <v>18</v>
      </c>
      <c r="AA51" s="49" t="s">
        <v>19</v>
      </c>
      <c r="AB51" s="49" t="s">
        <v>19</v>
      </c>
      <c r="AC51" s="50" t="s">
        <v>19</v>
      </c>
      <c r="AD51" s="49" t="s">
        <v>20</v>
      </c>
      <c r="AE51" s="49" t="s">
        <v>20</v>
      </c>
      <c r="AF51" s="50" t="s">
        <v>20</v>
      </c>
      <c r="AG51" s="49" t="s">
        <v>21</v>
      </c>
      <c r="AH51" s="49" t="s">
        <v>21</v>
      </c>
      <c r="AI51" s="50" t="s">
        <v>21</v>
      </c>
      <c r="AJ51" s="49" t="s">
        <v>22</v>
      </c>
      <c r="AK51" s="49" t="s">
        <v>22</v>
      </c>
      <c r="AL51" s="50" t="s">
        <v>22</v>
      </c>
      <c r="AM51" s="49" t="s">
        <v>23</v>
      </c>
      <c r="AN51" s="49" t="s">
        <v>23</v>
      </c>
      <c r="AO51" s="50" t="s">
        <v>23</v>
      </c>
      <c r="AP51" s="49" t="s">
        <v>24</v>
      </c>
      <c r="AQ51" s="49" t="s">
        <v>24</v>
      </c>
      <c r="AR51" s="50" t="s">
        <v>24</v>
      </c>
    </row>
    <row r="52" spans="1:44" ht="17.399999999999999">
      <c r="A52" s="51"/>
      <c r="B52" s="51" t="s">
        <v>25</v>
      </c>
      <c r="C52" s="51">
        <v>150000</v>
      </c>
      <c r="D52" s="51">
        <v>145000</v>
      </c>
      <c r="E52" s="51">
        <v>145000</v>
      </c>
      <c r="F52" s="51">
        <v>160000</v>
      </c>
      <c r="G52" s="51">
        <v>145000</v>
      </c>
      <c r="H52" s="51">
        <v>160000</v>
      </c>
      <c r="I52" s="51">
        <v>160000</v>
      </c>
      <c r="J52" s="51">
        <v>125000</v>
      </c>
      <c r="K52" s="51">
        <v>145000</v>
      </c>
      <c r="L52" s="51">
        <v>55</v>
      </c>
      <c r="M52" s="51">
        <v>55</v>
      </c>
      <c r="N52" s="51">
        <v>60</v>
      </c>
      <c r="O52" s="51">
        <v>20</v>
      </c>
      <c r="P52" s="51">
        <v>25</v>
      </c>
      <c r="Q52" s="51">
        <v>35</v>
      </c>
      <c r="R52" s="51">
        <v>14</v>
      </c>
      <c r="S52" s="51">
        <v>18</v>
      </c>
      <c r="T52" s="51">
        <v>17</v>
      </c>
      <c r="U52" s="51">
        <v>21</v>
      </c>
      <c r="V52" s="51">
        <v>15</v>
      </c>
      <c r="W52" s="51">
        <v>11</v>
      </c>
      <c r="X52" s="51">
        <v>8000</v>
      </c>
      <c r="Y52" s="51">
        <v>6000</v>
      </c>
      <c r="Z52" s="51">
        <v>4000</v>
      </c>
      <c r="AA52" s="51">
        <v>571.42999999999995</v>
      </c>
      <c r="AB52" s="51">
        <v>333.33</v>
      </c>
      <c r="AC52" s="51">
        <v>235.29</v>
      </c>
      <c r="AD52" s="51">
        <v>350</v>
      </c>
      <c r="AE52" s="51">
        <v>450</v>
      </c>
      <c r="AF52" s="51">
        <v>350</v>
      </c>
      <c r="AG52" s="51">
        <v>400</v>
      </c>
      <c r="AH52" s="51">
        <v>385</v>
      </c>
      <c r="AI52" s="51">
        <v>390</v>
      </c>
      <c r="AJ52" s="51">
        <v>2909.09</v>
      </c>
      <c r="AK52" s="51">
        <v>2636.36</v>
      </c>
      <c r="AL52" s="51">
        <v>2416.67</v>
      </c>
      <c r="AM52" s="51">
        <v>2800</v>
      </c>
      <c r="AN52" s="51">
        <v>2500</v>
      </c>
      <c r="AO52" s="51">
        <v>2300</v>
      </c>
      <c r="AP52" s="51">
        <v>2200</v>
      </c>
      <c r="AQ52" s="51">
        <v>2300</v>
      </c>
      <c r="AR52" s="51">
        <v>2500</v>
      </c>
    </row>
    <row r="53" spans="1:44" ht="17.399999999999999">
      <c r="A53" s="51"/>
      <c r="B53" s="51" t="s">
        <v>26</v>
      </c>
      <c r="C53" s="51">
        <v>185000</v>
      </c>
      <c r="D53" s="51">
        <v>150000</v>
      </c>
      <c r="E53" s="51">
        <v>185000</v>
      </c>
      <c r="F53" s="51">
        <v>160000</v>
      </c>
      <c r="G53" s="51">
        <v>145000</v>
      </c>
      <c r="H53" s="51">
        <v>160000</v>
      </c>
      <c r="I53" s="51">
        <v>125000</v>
      </c>
      <c r="J53" s="51">
        <v>130000</v>
      </c>
      <c r="K53" s="51">
        <v>120000</v>
      </c>
      <c r="L53" s="51">
        <v>56</v>
      </c>
      <c r="M53" s="51">
        <v>45</v>
      </c>
      <c r="N53" s="51">
        <v>65</v>
      </c>
      <c r="O53" s="51">
        <v>20</v>
      </c>
      <c r="P53" s="51">
        <v>25</v>
      </c>
      <c r="Q53" s="51">
        <v>35</v>
      </c>
      <c r="R53" s="51">
        <v>15</v>
      </c>
      <c r="S53" s="51">
        <v>25</v>
      </c>
      <c r="T53" s="51">
        <v>25</v>
      </c>
      <c r="U53" s="51">
        <v>14</v>
      </c>
      <c r="V53" s="51">
        <v>22</v>
      </c>
      <c r="W53" s="51">
        <v>12</v>
      </c>
      <c r="X53" s="51">
        <v>5500</v>
      </c>
      <c r="Y53" s="51">
        <v>8500</v>
      </c>
      <c r="Z53" s="51">
        <v>5000</v>
      </c>
      <c r="AA53" s="51">
        <v>366.67</v>
      </c>
      <c r="AB53" s="51">
        <v>340</v>
      </c>
      <c r="AC53" s="51">
        <v>200</v>
      </c>
      <c r="AD53" s="51">
        <v>350</v>
      </c>
      <c r="AE53" s="51">
        <v>450</v>
      </c>
      <c r="AF53" s="51">
        <v>350</v>
      </c>
      <c r="AG53" s="51">
        <v>380</v>
      </c>
      <c r="AH53" s="51">
        <v>400</v>
      </c>
      <c r="AI53" s="51">
        <v>388</v>
      </c>
      <c r="AJ53" s="51">
        <v>3303.57</v>
      </c>
      <c r="AK53" s="51">
        <v>3333.33</v>
      </c>
      <c r="AL53" s="51">
        <v>2846.15</v>
      </c>
      <c r="AM53" s="51">
        <v>2500</v>
      </c>
      <c r="AN53" s="51">
        <v>3000</v>
      </c>
      <c r="AO53" s="51">
        <v>2000</v>
      </c>
      <c r="AP53" s="51">
        <v>2200</v>
      </c>
      <c r="AQ53" s="51">
        <v>2300</v>
      </c>
      <c r="AR53" s="51">
        <v>2500</v>
      </c>
    </row>
    <row r="54" spans="1:44" ht="17.399999999999999">
      <c r="A54" s="51"/>
      <c r="B54" s="51" t="s">
        <v>27</v>
      </c>
      <c r="C54" s="51">
        <v>150000</v>
      </c>
      <c r="D54" s="51">
        <v>125000</v>
      </c>
      <c r="E54" s="51">
        <v>120000</v>
      </c>
      <c r="F54" s="51">
        <v>160000</v>
      </c>
      <c r="G54" s="51">
        <v>145000</v>
      </c>
      <c r="H54" s="51">
        <v>160000</v>
      </c>
      <c r="I54" s="51">
        <v>130000</v>
      </c>
      <c r="J54" s="51">
        <v>150000</v>
      </c>
      <c r="K54" s="51">
        <v>125000</v>
      </c>
      <c r="L54" s="51">
        <v>56</v>
      </c>
      <c r="M54" s="51">
        <v>65</v>
      </c>
      <c r="N54" s="51">
        <v>50</v>
      </c>
      <c r="O54" s="51">
        <v>20</v>
      </c>
      <c r="P54" s="51">
        <v>25</v>
      </c>
      <c r="Q54" s="51">
        <v>35</v>
      </c>
      <c r="R54" s="51">
        <v>22</v>
      </c>
      <c r="S54" s="51">
        <v>17</v>
      </c>
      <c r="T54" s="51">
        <v>17</v>
      </c>
      <c r="U54" s="51">
        <v>25</v>
      </c>
      <c r="V54" s="51">
        <v>17</v>
      </c>
      <c r="W54" s="51">
        <v>21</v>
      </c>
      <c r="X54" s="51">
        <v>9000</v>
      </c>
      <c r="Y54" s="51">
        <v>6500</v>
      </c>
      <c r="Z54" s="51">
        <v>6500</v>
      </c>
      <c r="AA54" s="51">
        <v>409.09</v>
      </c>
      <c r="AB54" s="51">
        <v>382.35</v>
      </c>
      <c r="AC54" s="51">
        <v>382.35</v>
      </c>
      <c r="AD54" s="51">
        <v>350</v>
      </c>
      <c r="AE54" s="51">
        <v>450</v>
      </c>
      <c r="AF54" s="51">
        <v>350</v>
      </c>
      <c r="AG54" s="51">
        <v>365</v>
      </c>
      <c r="AH54" s="51">
        <v>350</v>
      </c>
      <c r="AI54" s="51">
        <v>352</v>
      </c>
      <c r="AJ54" s="51">
        <v>2678.57</v>
      </c>
      <c r="AK54" s="51">
        <v>1923.08</v>
      </c>
      <c r="AL54" s="51">
        <v>2400</v>
      </c>
      <c r="AM54" s="51">
        <v>2600</v>
      </c>
      <c r="AN54" s="51">
        <v>1800</v>
      </c>
      <c r="AO54" s="51">
        <v>2200</v>
      </c>
      <c r="AP54" s="51">
        <v>2200</v>
      </c>
      <c r="AQ54" s="51">
        <v>2300</v>
      </c>
      <c r="AR54" s="51">
        <v>2500</v>
      </c>
    </row>
    <row r="55" spans="1:44" ht="17.399999999999999">
      <c r="A55" s="51"/>
      <c r="B55" s="51" t="s">
        <v>28</v>
      </c>
      <c r="C55" s="51">
        <v>155000</v>
      </c>
      <c r="D55" s="51">
        <v>155000</v>
      </c>
      <c r="E55" s="51">
        <v>155000</v>
      </c>
      <c r="F55" s="51">
        <v>160000</v>
      </c>
      <c r="G55" s="51">
        <v>145000</v>
      </c>
      <c r="H55" s="51">
        <v>160000</v>
      </c>
      <c r="I55" s="51">
        <v>150000</v>
      </c>
      <c r="J55" s="51">
        <v>155000</v>
      </c>
      <c r="K55" s="51">
        <v>160000</v>
      </c>
      <c r="L55" s="51">
        <v>62</v>
      </c>
      <c r="M55" s="51">
        <v>52</v>
      </c>
      <c r="N55" s="51">
        <v>52</v>
      </c>
      <c r="O55" s="51">
        <v>20</v>
      </c>
      <c r="P55" s="51">
        <v>25</v>
      </c>
      <c r="Q55" s="51">
        <v>35</v>
      </c>
      <c r="R55" s="51">
        <v>21</v>
      </c>
      <c r="S55" s="51">
        <v>24</v>
      </c>
      <c r="T55" s="51">
        <v>22</v>
      </c>
      <c r="U55" s="51">
        <v>17</v>
      </c>
      <c r="V55" s="51">
        <v>16</v>
      </c>
      <c r="W55" s="51">
        <v>23</v>
      </c>
      <c r="X55" s="51">
        <v>6200</v>
      </c>
      <c r="Y55" s="51">
        <v>6300</v>
      </c>
      <c r="Z55" s="51">
        <v>9000</v>
      </c>
      <c r="AA55" s="51">
        <v>295.24</v>
      </c>
      <c r="AB55" s="51">
        <v>262.5</v>
      </c>
      <c r="AC55" s="51">
        <v>409.09</v>
      </c>
      <c r="AD55" s="51">
        <v>350</v>
      </c>
      <c r="AE55" s="51">
        <v>450</v>
      </c>
      <c r="AF55" s="51">
        <v>350</v>
      </c>
      <c r="AG55" s="51">
        <v>405</v>
      </c>
      <c r="AH55" s="51">
        <v>370</v>
      </c>
      <c r="AI55" s="51">
        <v>350</v>
      </c>
      <c r="AJ55" s="51">
        <v>2500</v>
      </c>
      <c r="AK55" s="51">
        <v>2980.77</v>
      </c>
      <c r="AL55" s="51">
        <v>2980.77</v>
      </c>
      <c r="AM55" s="51">
        <v>2400</v>
      </c>
      <c r="AN55" s="51">
        <v>2800</v>
      </c>
      <c r="AO55" s="51">
        <v>2890</v>
      </c>
      <c r="AP55" s="51">
        <v>2200</v>
      </c>
      <c r="AQ55" s="51">
        <v>2300</v>
      </c>
      <c r="AR55" s="51">
        <v>2500</v>
      </c>
    </row>
    <row r="56" spans="1:44" ht="17.399999999999999">
      <c r="A56" s="51"/>
      <c r="B56" s="51" t="s">
        <v>29</v>
      </c>
      <c r="C56" s="51">
        <v>140000</v>
      </c>
      <c r="D56" s="51">
        <v>170000</v>
      </c>
      <c r="E56" s="51">
        <v>155000</v>
      </c>
      <c r="F56" s="51">
        <v>160000</v>
      </c>
      <c r="G56" s="51">
        <v>145000</v>
      </c>
      <c r="H56" s="51">
        <v>160000</v>
      </c>
      <c r="I56" s="51">
        <v>150000</v>
      </c>
      <c r="J56" s="51">
        <v>180000</v>
      </c>
      <c r="K56" s="51">
        <v>140000</v>
      </c>
      <c r="L56" s="51">
        <v>65</v>
      </c>
      <c r="M56" s="51">
        <v>50</v>
      </c>
      <c r="N56" s="51">
        <v>70</v>
      </c>
      <c r="O56" s="51">
        <v>20</v>
      </c>
      <c r="P56" s="51">
        <v>25</v>
      </c>
      <c r="Q56" s="51">
        <v>35</v>
      </c>
      <c r="R56" s="51">
        <v>30</v>
      </c>
      <c r="S56" s="51">
        <v>16</v>
      </c>
      <c r="T56" s="51">
        <v>18</v>
      </c>
      <c r="U56" s="51">
        <v>25</v>
      </c>
      <c r="V56" s="51">
        <v>21</v>
      </c>
      <c r="W56" s="51">
        <v>20</v>
      </c>
      <c r="X56" s="51">
        <v>9800</v>
      </c>
      <c r="Y56" s="51">
        <v>8000</v>
      </c>
      <c r="Z56" s="51">
        <v>7500</v>
      </c>
      <c r="AA56" s="51">
        <v>326.67</v>
      </c>
      <c r="AB56" s="51">
        <v>500</v>
      </c>
      <c r="AC56" s="51">
        <v>416.67</v>
      </c>
      <c r="AD56" s="51">
        <v>350</v>
      </c>
      <c r="AE56" s="51">
        <v>450</v>
      </c>
      <c r="AF56" s="51">
        <v>350</v>
      </c>
      <c r="AG56" s="51">
        <v>385</v>
      </c>
      <c r="AH56" s="51">
        <v>350</v>
      </c>
      <c r="AI56" s="51">
        <v>410</v>
      </c>
      <c r="AJ56" s="51">
        <v>2153.85</v>
      </c>
      <c r="AK56" s="51">
        <v>3400</v>
      </c>
      <c r="AL56" s="51">
        <v>2214.29</v>
      </c>
      <c r="AM56" s="51">
        <v>1900</v>
      </c>
      <c r="AN56" s="51">
        <v>3000</v>
      </c>
      <c r="AO56" s="51">
        <v>2100</v>
      </c>
      <c r="AP56" s="51">
        <v>2200</v>
      </c>
      <c r="AQ56" s="51">
        <v>2300</v>
      </c>
      <c r="AR56" s="51">
        <v>2500</v>
      </c>
    </row>
    <row r="57" spans="1:44" ht="17.399999999999999">
      <c r="A57" s="52"/>
      <c r="B57" s="52" t="s">
        <v>30</v>
      </c>
      <c r="C57" s="52">
        <f t="shared" ref="C57:Z57" si="6">SUM(C52:C56)</f>
        <v>780000</v>
      </c>
      <c r="D57" s="52">
        <f t="shared" si="6"/>
        <v>745000</v>
      </c>
      <c r="E57" s="52">
        <f t="shared" si="6"/>
        <v>760000</v>
      </c>
      <c r="F57" s="52">
        <f t="shared" si="6"/>
        <v>800000</v>
      </c>
      <c r="G57" s="52">
        <f t="shared" si="6"/>
        <v>725000</v>
      </c>
      <c r="H57" s="52">
        <f t="shared" si="6"/>
        <v>800000</v>
      </c>
      <c r="I57" s="52">
        <f t="shared" si="6"/>
        <v>715000</v>
      </c>
      <c r="J57" s="52">
        <f t="shared" si="6"/>
        <v>740000</v>
      </c>
      <c r="K57" s="52">
        <f t="shared" si="6"/>
        <v>690000</v>
      </c>
      <c r="L57" s="52">
        <f t="shared" si="6"/>
        <v>294</v>
      </c>
      <c r="M57" s="52">
        <f t="shared" si="6"/>
        <v>267</v>
      </c>
      <c r="N57" s="52">
        <f t="shared" si="6"/>
        <v>297</v>
      </c>
      <c r="O57" s="52">
        <f t="shared" si="6"/>
        <v>100</v>
      </c>
      <c r="P57" s="52">
        <f t="shared" si="6"/>
        <v>125</v>
      </c>
      <c r="Q57" s="52">
        <f t="shared" si="6"/>
        <v>175</v>
      </c>
      <c r="R57" s="52">
        <f t="shared" si="6"/>
        <v>102</v>
      </c>
      <c r="S57" s="52">
        <f t="shared" si="6"/>
        <v>100</v>
      </c>
      <c r="T57" s="52">
        <f t="shared" si="6"/>
        <v>99</v>
      </c>
      <c r="U57" s="52">
        <f t="shared" si="6"/>
        <v>102</v>
      </c>
      <c r="V57" s="52">
        <f t="shared" si="6"/>
        <v>91</v>
      </c>
      <c r="W57" s="52">
        <f t="shared" si="6"/>
        <v>87</v>
      </c>
      <c r="X57" s="52">
        <f t="shared" si="6"/>
        <v>38500</v>
      </c>
      <c r="Y57" s="52">
        <f t="shared" si="6"/>
        <v>35300</v>
      </c>
      <c r="Z57" s="52">
        <f t="shared" si="6"/>
        <v>32000</v>
      </c>
      <c r="AA57" s="52">
        <f t="shared" ref="AA57:AR57" si="7">AVERAGE(AA52:AA56)</f>
        <v>393.82</v>
      </c>
      <c r="AB57" s="52">
        <f t="shared" si="7"/>
        <v>363.63599999999997</v>
      </c>
      <c r="AC57" s="52">
        <f t="shared" si="7"/>
        <v>328.68</v>
      </c>
      <c r="AD57" s="52">
        <f t="shared" si="7"/>
        <v>350</v>
      </c>
      <c r="AE57" s="52">
        <f t="shared" si="7"/>
        <v>450</v>
      </c>
      <c r="AF57" s="52">
        <f t="shared" si="7"/>
        <v>350</v>
      </c>
      <c r="AG57" s="52">
        <f t="shared" si="7"/>
        <v>387</v>
      </c>
      <c r="AH57" s="52">
        <f t="shared" si="7"/>
        <v>371</v>
      </c>
      <c r="AI57" s="52">
        <f t="shared" si="7"/>
        <v>378</v>
      </c>
      <c r="AJ57" s="52">
        <f t="shared" si="7"/>
        <v>2709.0160000000001</v>
      </c>
      <c r="AK57" s="52">
        <f t="shared" si="7"/>
        <v>2854.7080000000001</v>
      </c>
      <c r="AL57" s="52">
        <f t="shared" si="7"/>
        <v>2571.576</v>
      </c>
      <c r="AM57" s="52">
        <f t="shared" si="7"/>
        <v>2440</v>
      </c>
      <c r="AN57" s="52">
        <f t="shared" si="7"/>
        <v>2620</v>
      </c>
      <c r="AO57" s="52">
        <f t="shared" si="7"/>
        <v>2298</v>
      </c>
      <c r="AP57" s="52">
        <f t="shared" si="7"/>
        <v>2200</v>
      </c>
      <c r="AQ57" s="52">
        <f t="shared" si="7"/>
        <v>2300</v>
      </c>
      <c r="AR57" s="52">
        <f t="shared" si="7"/>
        <v>2500</v>
      </c>
    </row>
    <row r="58" spans="1:44">
      <c r="A58" s="1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</row>
    <row r="59" spans="1:44">
      <c r="A59" s="44"/>
      <c r="B59" s="45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5"/>
    </row>
    <row r="60" spans="1:44">
      <c r="A60" s="44"/>
      <c r="B60" s="45"/>
      <c r="C60" s="82" t="s">
        <v>47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4"/>
    </row>
    <row r="61" spans="1:44">
      <c r="A61" s="44"/>
      <c r="B61" s="45"/>
      <c r="C61" s="47" t="s">
        <v>7</v>
      </c>
      <c r="D61" s="47" t="s">
        <v>8</v>
      </c>
      <c r="E61" s="48" t="s">
        <v>9</v>
      </c>
      <c r="F61" s="47" t="s">
        <v>7</v>
      </c>
      <c r="G61" s="47" t="s">
        <v>8</v>
      </c>
      <c r="H61" s="48" t="s">
        <v>9</v>
      </c>
      <c r="I61" s="47" t="s">
        <v>7</v>
      </c>
      <c r="J61" s="47" t="s">
        <v>8</v>
      </c>
      <c r="K61" s="48" t="s">
        <v>9</v>
      </c>
      <c r="L61" s="47" t="s">
        <v>7</v>
      </c>
      <c r="M61" s="47" t="s">
        <v>8</v>
      </c>
      <c r="N61" s="48" t="s">
        <v>9</v>
      </c>
      <c r="O61" s="47" t="s">
        <v>7</v>
      </c>
      <c r="P61" s="47" t="s">
        <v>8</v>
      </c>
      <c r="Q61" s="48" t="s">
        <v>9</v>
      </c>
      <c r="R61" s="47" t="s">
        <v>7</v>
      </c>
      <c r="S61" s="47" t="s">
        <v>8</v>
      </c>
      <c r="T61" s="48" t="s">
        <v>9</v>
      </c>
      <c r="U61" s="47" t="s">
        <v>7</v>
      </c>
      <c r="V61" s="47" t="s">
        <v>8</v>
      </c>
      <c r="W61" s="48" t="s">
        <v>9</v>
      </c>
      <c r="X61" s="47" t="s">
        <v>7</v>
      </c>
      <c r="Y61" s="47" t="s">
        <v>8</v>
      </c>
      <c r="Z61" s="48" t="s">
        <v>9</v>
      </c>
      <c r="AA61" s="47" t="s">
        <v>7</v>
      </c>
      <c r="AB61" s="47" t="s">
        <v>8</v>
      </c>
      <c r="AC61" s="48" t="s">
        <v>9</v>
      </c>
      <c r="AD61" s="47" t="s">
        <v>7</v>
      </c>
      <c r="AE61" s="47" t="s">
        <v>8</v>
      </c>
      <c r="AF61" s="48" t="s">
        <v>9</v>
      </c>
      <c r="AG61" s="47" t="s">
        <v>7</v>
      </c>
      <c r="AH61" s="47" t="s">
        <v>8</v>
      </c>
      <c r="AI61" s="48" t="s">
        <v>9</v>
      </c>
      <c r="AJ61" s="47" t="s">
        <v>7</v>
      </c>
      <c r="AK61" s="47" t="s">
        <v>8</v>
      </c>
      <c r="AL61" s="48" t="s">
        <v>9</v>
      </c>
      <c r="AM61" s="47" t="s">
        <v>7</v>
      </c>
      <c r="AN61" s="47" t="s">
        <v>8</v>
      </c>
      <c r="AO61" s="48" t="s">
        <v>9</v>
      </c>
      <c r="AP61" s="47" t="s">
        <v>7</v>
      </c>
      <c r="AQ61" s="47" t="s">
        <v>8</v>
      </c>
      <c r="AR61" s="48" t="s">
        <v>9</v>
      </c>
    </row>
    <row r="62" spans="1:44" ht="41.4">
      <c r="A62" s="44"/>
      <c r="B62" s="45"/>
      <c r="C62" s="49" t="s">
        <v>11</v>
      </c>
      <c r="D62" s="49" t="s">
        <v>11</v>
      </c>
      <c r="E62" s="50" t="s">
        <v>11</v>
      </c>
      <c r="F62" s="49" t="s">
        <v>12</v>
      </c>
      <c r="G62" s="49" t="s">
        <v>12</v>
      </c>
      <c r="H62" s="50" t="s">
        <v>12</v>
      </c>
      <c r="I62" s="49" t="s">
        <v>13</v>
      </c>
      <c r="J62" s="49" t="s">
        <v>13</v>
      </c>
      <c r="K62" s="50" t="s">
        <v>13</v>
      </c>
      <c r="L62" s="49" t="s">
        <v>14</v>
      </c>
      <c r="M62" s="49" t="s">
        <v>14</v>
      </c>
      <c r="N62" s="50" t="s">
        <v>14</v>
      </c>
      <c r="O62" s="49" t="s">
        <v>15</v>
      </c>
      <c r="P62" s="49" t="s">
        <v>15</v>
      </c>
      <c r="Q62" s="50" t="s">
        <v>15</v>
      </c>
      <c r="R62" s="49" t="s">
        <v>16</v>
      </c>
      <c r="S62" s="49" t="s">
        <v>16</v>
      </c>
      <c r="T62" s="50" t="s">
        <v>16</v>
      </c>
      <c r="U62" s="49" t="s">
        <v>17</v>
      </c>
      <c r="V62" s="49" t="s">
        <v>17</v>
      </c>
      <c r="W62" s="50" t="s">
        <v>17</v>
      </c>
      <c r="X62" s="49" t="s">
        <v>18</v>
      </c>
      <c r="Y62" s="49" t="s">
        <v>18</v>
      </c>
      <c r="Z62" s="50" t="s">
        <v>18</v>
      </c>
      <c r="AA62" s="49" t="s">
        <v>19</v>
      </c>
      <c r="AB62" s="49" t="s">
        <v>19</v>
      </c>
      <c r="AC62" s="50" t="s">
        <v>19</v>
      </c>
      <c r="AD62" s="49" t="s">
        <v>20</v>
      </c>
      <c r="AE62" s="49" t="s">
        <v>20</v>
      </c>
      <c r="AF62" s="50" t="s">
        <v>20</v>
      </c>
      <c r="AG62" s="49" t="s">
        <v>21</v>
      </c>
      <c r="AH62" s="49" t="s">
        <v>21</v>
      </c>
      <c r="AI62" s="50" t="s">
        <v>21</v>
      </c>
      <c r="AJ62" s="49" t="s">
        <v>22</v>
      </c>
      <c r="AK62" s="49" t="s">
        <v>22</v>
      </c>
      <c r="AL62" s="50" t="s">
        <v>22</v>
      </c>
      <c r="AM62" s="49" t="s">
        <v>23</v>
      </c>
      <c r="AN62" s="49" t="s">
        <v>23</v>
      </c>
      <c r="AO62" s="50" t="s">
        <v>23</v>
      </c>
      <c r="AP62" s="49" t="s">
        <v>24</v>
      </c>
      <c r="AQ62" s="49" t="s">
        <v>24</v>
      </c>
      <c r="AR62" s="50" t="s">
        <v>24</v>
      </c>
    </row>
    <row r="63" spans="1:44" ht="17.399999999999999">
      <c r="A63" s="51"/>
      <c r="B63" s="51" t="s">
        <v>25</v>
      </c>
      <c r="C63" s="51">
        <v>145000</v>
      </c>
      <c r="D63" s="51">
        <v>150000</v>
      </c>
      <c r="E63" s="51">
        <v>150000</v>
      </c>
      <c r="F63" s="51">
        <v>165000</v>
      </c>
      <c r="G63" s="51">
        <v>155000</v>
      </c>
      <c r="H63" s="51">
        <v>145000</v>
      </c>
      <c r="I63" s="51">
        <v>155000</v>
      </c>
      <c r="J63" s="51">
        <v>125000</v>
      </c>
      <c r="K63" s="51">
        <v>145000</v>
      </c>
      <c r="L63" s="51">
        <v>75</v>
      </c>
      <c r="M63" s="51">
        <v>76</v>
      </c>
      <c r="N63" s="51">
        <v>80</v>
      </c>
      <c r="O63" s="51">
        <v>20</v>
      </c>
      <c r="P63" s="51">
        <v>20</v>
      </c>
      <c r="Q63" s="51">
        <v>20</v>
      </c>
      <c r="R63" s="51">
        <v>15</v>
      </c>
      <c r="S63" s="51">
        <v>22</v>
      </c>
      <c r="T63" s="51">
        <v>25</v>
      </c>
      <c r="U63" s="51">
        <v>21</v>
      </c>
      <c r="V63" s="51">
        <v>17</v>
      </c>
      <c r="W63" s="51">
        <v>16</v>
      </c>
      <c r="X63" s="51">
        <v>4700</v>
      </c>
      <c r="Y63" s="51">
        <v>7000</v>
      </c>
      <c r="Z63" s="51">
        <v>6000</v>
      </c>
      <c r="AA63" s="51">
        <v>313.33</v>
      </c>
      <c r="AB63" s="51">
        <v>318.18</v>
      </c>
      <c r="AC63" s="51">
        <v>240</v>
      </c>
      <c r="AD63" s="51">
        <v>350</v>
      </c>
      <c r="AE63" s="51">
        <v>350</v>
      </c>
      <c r="AF63" s="51">
        <v>300</v>
      </c>
      <c r="AG63" s="51">
        <v>410</v>
      </c>
      <c r="AH63" s="51">
        <v>385</v>
      </c>
      <c r="AI63" s="51">
        <v>390</v>
      </c>
      <c r="AJ63" s="51">
        <v>1866.67</v>
      </c>
      <c r="AK63" s="51">
        <v>1973.68</v>
      </c>
      <c r="AL63" s="51">
        <v>1875</v>
      </c>
      <c r="AM63" s="51">
        <v>2500</v>
      </c>
      <c r="AN63" s="51">
        <v>2700</v>
      </c>
      <c r="AO63" s="51">
        <v>2400</v>
      </c>
      <c r="AP63" s="51">
        <v>2450</v>
      </c>
      <c r="AQ63" s="51">
        <v>2700</v>
      </c>
      <c r="AR63" s="51">
        <v>2350</v>
      </c>
    </row>
    <row r="64" spans="1:44" ht="17.399999999999999">
      <c r="A64" s="51"/>
      <c r="B64" s="51" t="s">
        <v>26</v>
      </c>
      <c r="C64" s="51">
        <v>115000</v>
      </c>
      <c r="D64" s="51">
        <v>140000</v>
      </c>
      <c r="E64" s="51">
        <v>170000</v>
      </c>
      <c r="F64" s="51">
        <v>165000</v>
      </c>
      <c r="G64" s="51">
        <v>155000</v>
      </c>
      <c r="H64" s="51">
        <v>145000</v>
      </c>
      <c r="I64" s="51">
        <v>140000</v>
      </c>
      <c r="J64" s="51">
        <v>125000</v>
      </c>
      <c r="K64" s="51">
        <v>130000</v>
      </c>
      <c r="L64" s="51">
        <v>65</v>
      </c>
      <c r="M64" s="51">
        <v>85</v>
      </c>
      <c r="N64" s="51">
        <v>70</v>
      </c>
      <c r="O64" s="51">
        <v>20</v>
      </c>
      <c r="P64" s="51">
        <v>20</v>
      </c>
      <c r="Q64" s="51">
        <v>20</v>
      </c>
      <c r="R64" s="51">
        <v>25</v>
      </c>
      <c r="S64" s="51">
        <v>18</v>
      </c>
      <c r="T64" s="51">
        <v>24</v>
      </c>
      <c r="U64" s="51">
        <v>16</v>
      </c>
      <c r="V64" s="51">
        <v>14</v>
      </c>
      <c r="W64" s="51">
        <v>21</v>
      </c>
      <c r="X64" s="51">
        <v>6000</v>
      </c>
      <c r="Y64" s="51">
        <v>5000</v>
      </c>
      <c r="Z64" s="51">
        <v>8500</v>
      </c>
      <c r="AA64" s="51">
        <v>240</v>
      </c>
      <c r="AB64" s="51">
        <v>277.77999999999997</v>
      </c>
      <c r="AC64" s="51">
        <v>354.17</v>
      </c>
      <c r="AD64" s="51">
        <v>350</v>
      </c>
      <c r="AE64" s="51">
        <v>350</v>
      </c>
      <c r="AF64" s="51">
        <v>300</v>
      </c>
      <c r="AG64" s="51">
        <v>408</v>
      </c>
      <c r="AH64" s="51">
        <v>350</v>
      </c>
      <c r="AI64" s="51">
        <v>370</v>
      </c>
      <c r="AJ64" s="51">
        <v>1769.23</v>
      </c>
      <c r="AK64" s="51">
        <v>1647.06</v>
      </c>
      <c r="AL64" s="51">
        <v>2428.5700000000002</v>
      </c>
      <c r="AM64" s="51">
        <v>1800</v>
      </c>
      <c r="AN64" s="51">
        <v>2200</v>
      </c>
      <c r="AO64" s="51">
        <v>2300</v>
      </c>
      <c r="AP64" s="51">
        <v>2450</v>
      </c>
      <c r="AQ64" s="51">
        <v>2700</v>
      </c>
      <c r="AR64" s="51">
        <v>2350</v>
      </c>
    </row>
    <row r="65" spans="1:44" ht="17.399999999999999">
      <c r="A65" s="51"/>
      <c r="B65" s="51" t="s">
        <v>27</v>
      </c>
      <c r="C65" s="51">
        <v>165000</v>
      </c>
      <c r="D65" s="51">
        <v>140000</v>
      </c>
      <c r="E65" s="51">
        <v>145000</v>
      </c>
      <c r="F65" s="51">
        <v>165000</v>
      </c>
      <c r="G65" s="51">
        <v>155000</v>
      </c>
      <c r="H65" s="51">
        <v>145000</v>
      </c>
      <c r="I65" s="51">
        <v>165000</v>
      </c>
      <c r="J65" s="51">
        <v>150000</v>
      </c>
      <c r="K65" s="51">
        <v>155000</v>
      </c>
      <c r="L65" s="51">
        <v>65</v>
      </c>
      <c r="M65" s="51">
        <v>72</v>
      </c>
      <c r="N65" s="51">
        <v>78</v>
      </c>
      <c r="O65" s="51">
        <v>20</v>
      </c>
      <c r="P65" s="51">
        <v>20</v>
      </c>
      <c r="Q65" s="51">
        <v>20</v>
      </c>
      <c r="R65" s="51">
        <v>25</v>
      </c>
      <c r="S65" s="51">
        <v>17</v>
      </c>
      <c r="T65" s="51">
        <v>14</v>
      </c>
      <c r="U65" s="51">
        <v>15</v>
      </c>
      <c r="V65" s="51">
        <v>21</v>
      </c>
      <c r="W65" s="51">
        <v>20</v>
      </c>
      <c r="X65" s="51">
        <v>4000</v>
      </c>
      <c r="Y65" s="51">
        <v>8000</v>
      </c>
      <c r="Z65" s="51">
        <v>8000</v>
      </c>
      <c r="AA65" s="51">
        <v>160</v>
      </c>
      <c r="AB65" s="51">
        <v>470.59</v>
      </c>
      <c r="AC65" s="51">
        <v>571.42999999999995</v>
      </c>
      <c r="AD65" s="51">
        <v>350</v>
      </c>
      <c r="AE65" s="51">
        <v>350</v>
      </c>
      <c r="AF65" s="51">
        <v>300</v>
      </c>
      <c r="AG65" s="51">
        <v>345</v>
      </c>
      <c r="AH65" s="51">
        <v>405</v>
      </c>
      <c r="AI65" s="51">
        <v>352</v>
      </c>
      <c r="AJ65" s="51">
        <v>2538.46</v>
      </c>
      <c r="AK65" s="51">
        <v>1944.44</v>
      </c>
      <c r="AL65" s="51">
        <v>1858.97</v>
      </c>
      <c r="AM65" s="51">
        <v>2500</v>
      </c>
      <c r="AN65" s="51">
        <v>2500</v>
      </c>
      <c r="AO65" s="51">
        <v>2600</v>
      </c>
      <c r="AP65" s="51">
        <v>2450</v>
      </c>
      <c r="AQ65" s="51">
        <v>2700</v>
      </c>
      <c r="AR65" s="51">
        <v>2350</v>
      </c>
    </row>
    <row r="66" spans="1:44" ht="17.399999999999999">
      <c r="A66" s="51"/>
      <c r="B66" s="51" t="s">
        <v>28</v>
      </c>
      <c r="C66" s="51">
        <v>125000</v>
      </c>
      <c r="D66" s="51">
        <v>155000</v>
      </c>
      <c r="E66" s="51">
        <v>155000</v>
      </c>
      <c r="F66" s="51">
        <v>165000</v>
      </c>
      <c r="G66" s="51">
        <v>155000</v>
      </c>
      <c r="H66" s="51">
        <v>145000</v>
      </c>
      <c r="I66" s="51">
        <v>150000</v>
      </c>
      <c r="J66" s="51">
        <v>145000</v>
      </c>
      <c r="K66" s="51">
        <v>125000</v>
      </c>
      <c r="L66" s="51">
        <v>65</v>
      </c>
      <c r="M66" s="51">
        <v>70</v>
      </c>
      <c r="N66" s="51">
        <v>85</v>
      </c>
      <c r="O66" s="51">
        <v>20</v>
      </c>
      <c r="P66" s="51">
        <v>20</v>
      </c>
      <c r="Q66" s="51">
        <v>20</v>
      </c>
      <c r="R66" s="51">
        <v>19</v>
      </c>
      <c r="S66" s="51">
        <v>15</v>
      </c>
      <c r="T66" s="51">
        <v>21</v>
      </c>
      <c r="U66" s="51">
        <v>22</v>
      </c>
      <c r="V66" s="51">
        <v>20</v>
      </c>
      <c r="W66" s="51">
        <v>17</v>
      </c>
      <c r="X66" s="51">
        <v>9000</v>
      </c>
      <c r="Y66" s="51">
        <v>8500</v>
      </c>
      <c r="Z66" s="51">
        <v>7000</v>
      </c>
      <c r="AA66" s="51">
        <v>473.68</v>
      </c>
      <c r="AB66" s="51">
        <v>566.66999999999996</v>
      </c>
      <c r="AC66" s="51">
        <v>333.33</v>
      </c>
      <c r="AD66" s="51">
        <v>350</v>
      </c>
      <c r="AE66" s="51">
        <v>350</v>
      </c>
      <c r="AF66" s="51">
        <v>300</v>
      </c>
      <c r="AG66" s="51">
        <v>350</v>
      </c>
      <c r="AH66" s="51">
        <v>400</v>
      </c>
      <c r="AI66" s="51">
        <v>388</v>
      </c>
      <c r="AJ66" s="51">
        <v>1923.08</v>
      </c>
      <c r="AK66" s="51">
        <v>2214.29</v>
      </c>
      <c r="AL66" s="51">
        <v>1823.53</v>
      </c>
      <c r="AM66" s="51">
        <v>2100</v>
      </c>
      <c r="AN66" s="51">
        <v>2400</v>
      </c>
      <c r="AO66" s="51">
        <v>2400</v>
      </c>
      <c r="AP66" s="51">
        <v>2450</v>
      </c>
      <c r="AQ66" s="51">
        <v>2700</v>
      </c>
      <c r="AR66" s="51">
        <v>2350</v>
      </c>
    </row>
    <row r="67" spans="1:44" ht="17.399999999999999">
      <c r="A67" s="51"/>
      <c r="B67" s="51" t="s">
        <v>29</v>
      </c>
      <c r="C67" s="51">
        <v>150000</v>
      </c>
      <c r="D67" s="51">
        <v>130000</v>
      </c>
      <c r="E67" s="51">
        <v>150000</v>
      </c>
      <c r="F67" s="51">
        <v>165000</v>
      </c>
      <c r="G67" s="51">
        <v>155000</v>
      </c>
      <c r="H67" s="51">
        <v>145000</v>
      </c>
      <c r="I67" s="51">
        <v>170000</v>
      </c>
      <c r="J67" s="51">
        <v>155000</v>
      </c>
      <c r="K67" s="51">
        <v>130000</v>
      </c>
      <c r="L67" s="51">
        <v>75</v>
      </c>
      <c r="M67" s="51">
        <v>63</v>
      </c>
      <c r="N67" s="51">
        <v>80</v>
      </c>
      <c r="O67" s="51">
        <v>20</v>
      </c>
      <c r="P67" s="51">
        <v>20</v>
      </c>
      <c r="Q67" s="51">
        <v>20</v>
      </c>
      <c r="R67" s="51">
        <v>24</v>
      </c>
      <c r="S67" s="51">
        <v>15</v>
      </c>
      <c r="T67" s="51">
        <v>30</v>
      </c>
      <c r="U67" s="51">
        <v>23</v>
      </c>
      <c r="V67" s="51">
        <v>24</v>
      </c>
      <c r="W67" s="51">
        <v>20</v>
      </c>
      <c r="X67" s="51">
        <v>9500</v>
      </c>
      <c r="Y67" s="51">
        <v>9000</v>
      </c>
      <c r="Z67" s="51">
        <v>8000</v>
      </c>
      <c r="AA67" s="51">
        <v>395.83</v>
      </c>
      <c r="AB67" s="51">
        <v>600</v>
      </c>
      <c r="AC67" s="51">
        <v>266.67</v>
      </c>
      <c r="AD67" s="51">
        <v>350</v>
      </c>
      <c r="AE67" s="51">
        <v>350</v>
      </c>
      <c r="AF67" s="51">
        <v>300</v>
      </c>
      <c r="AG67" s="51">
        <v>360</v>
      </c>
      <c r="AH67" s="51">
        <v>350</v>
      </c>
      <c r="AI67" s="51">
        <v>425</v>
      </c>
      <c r="AJ67" s="51">
        <v>2000</v>
      </c>
      <c r="AK67" s="51">
        <v>2063.4899999999998</v>
      </c>
      <c r="AL67" s="51">
        <v>1875</v>
      </c>
      <c r="AM67" s="51">
        <v>2100</v>
      </c>
      <c r="AN67" s="51">
        <v>2800</v>
      </c>
      <c r="AO67" s="51">
        <v>3000</v>
      </c>
      <c r="AP67" s="51">
        <v>2450</v>
      </c>
      <c r="AQ67" s="51">
        <v>2700</v>
      </c>
      <c r="AR67" s="51">
        <v>2350</v>
      </c>
    </row>
    <row r="68" spans="1:44" ht="17.399999999999999">
      <c r="A68" s="52"/>
      <c r="B68" s="52" t="s">
        <v>30</v>
      </c>
      <c r="C68" s="52">
        <f t="shared" ref="C68:Z68" si="8">SUM(C63:C67)</f>
        <v>700000</v>
      </c>
      <c r="D68" s="52">
        <f t="shared" si="8"/>
        <v>715000</v>
      </c>
      <c r="E68" s="52">
        <f t="shared" si="8"/>
        <v>770000</v>
      </c>
      <c r="F68" s="52">
        <f t="shared" si="8"/>
        <v>825000</v>
      </c>
      <c r="G68" s="52">
        <f t="shared" si="8"/>
        <v>775000</v>
      </c>
      <c r="H68" s="52">
        <f t="shared" si="8"/>
        <v>725000</v>
      </c>
      <c r="I68" s="52">
        <f t="shared" si="8"/>
        <v>780000</v>
      </c>
      <c r="J68" s="52">
        <f t="shared" si="8"/>
        <v>700000</v>
      </c>
      <c r="K68" s="52">
        <f t="shared" si="8"/>
        <v>685000</v>
      </c>
      <c r="L68" s="52">
        <f t="shared" si="8"/>
        <v>345</v>
      </c>
      <c r="M68" s="52">
        <f t="shared" si="8"/>
        <v>366</v>
      </c>
      <c r="N68" s="52">
        <f t="shared" si="8"/>
        <v>393</v>
      </c>
      <c r="O68" s="52">
        <f t="shared" si="8"/>
        <v>100</v>
      </c>
      <c r="P68" s="52">
        <f t="shared" si="8"/>
        <v>100</v>
      </c>
      <c r="Q68" s="52">
        <f t="shared" si="8"/>
        <v>100</v>
      </c>
      <c r="R68" s="52">
        <f t="shared" si="8"/>
        <v>108</v>
      </c>
      <c r="S68" s="52">
        <f t="shared" si="8"/>
        <v>87</v>
      </c>
      <c r="T68" s="52">
        <f t="shared" si="8"/>
        <v>114</v>
      </c>
      <c r="U68" s="52">
        <f t="shared" si="8"/>
        <v>97</v>
      </c>
      <c r="V68" s="52">
        <f t="shared" si="8"/>
        <v>96</v>
      </c>
      <c r="W68" s="52">
        <f t="shared" si="8"/>
        <v>94</v>
      </c>
      <c r="X68" s="52">
        <f t="shared" si="8"/>
        <v>33200</v>
      </c>
      <c r="Y68" s="52">
        <f t="shared" si="8"/>
        <v>37500</v>
      </c>
      <c r="Z68" s="52">
        <f t="shared" si="8"/>
        <v>37500</v>
      </c>
      <c r="AA68" s="52">
        <f t="shared" ref="AA68:AR68" si="9">AVERAGE(AA63:AA67)</f>
        <v>316.56799999999998</v>
      </c>
      <c r="AB68" s="52">
        <f t="shared" si="9"/>
        <v>446.64399999999995</v>
      </c>
      <c r="AC68" s="52">
        <f t="shared" si="9"/>
        <v>353.12</v>
      </c>
      <c r="AD68" s="52">
        <f t="shared" si="9"/>
        <v>350</v>
      </c>
      <c r="AE68" s="52">
        <f t="shared" si="9"/>
        <v>350</v>
      </c>
      <c r="AF68" s="52">
        <f t="shared" si="9"/>
        <v>300</v>
      </c>
      <c r="AG68" s="52">
        <f t="shared" si="9"/>
        <v>374.6</v>
      </c>
      <c r="AH68" s="52">
        <f t="shared" si="9"/>
        <v>378</v>
      </c>
      <c r="AI68" s="52">
        <f t="shared" si="9"/>
        <v>385</v>
      </c>
      <c r="AJ68" s="52">
        <f t="shared" si="9"/>
        <v>2019.4880000000001</v>
      </c>
      <c r="AK68" s="52">
        <f t="shared" si="9"/>
        <v>1968.5919999999999</v>
      </c>
      <c r="AL68" s="52">
        <f t="shared" si="9"/>
        <v>1972.2139999999999</v>
      </c>
      <c r="AM68" s="52">
        <f t="shared" si="9"/>
        <v>2200</v>
      </c>
      <c r="AN68" s="52">
        <f t="shared" si="9"/>
        <v>2520</v>
      </c>
      <c r="AO68" s="52">
        <f t="shared" si="9"/>
        <v>2540</v>
      </c>
      <c r="AP68" s="52">
        <f t="shared" si="9"/>
        <v>2450</v>
      </c>
      <c r="AQ68" s="52">
        <f t="shared" si="9"/>
        <v>2700</v>
      </c>
      <c r="AR68" s="52">
        <f t="shared" si="9"/>
        <v>2350</v>
      </c>
    </row>
    <row r="69" spans="1:4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</sheetData>
  <mergeCells count="5">
    <mergeCell ref="C8:AR8"/>
    <mergeCell ref="C27:AR27"/>
    <mergeCell ref="C38:AR38"/>
    <mergeCell ref="C49:AR49"/>
    <mergeCell ref="C60:AR6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7" workbookViewId="0">
      <selection activeCell="D2" sqref="D2"/>
    </sheetView>
  </sheetViews>
  <sheetFormatPr defaultColWidth="14.44140625" defaultRowHeight="15" customHeight="1"/>
  <cols>
    <col min="1" max="1" width="22.44140625" customWidth="1"/>
    <col min="2" max="2" width="1.33203125" customWidth="1"/>
    <col min="3" max="3" width="23.33203125" customWidth="1"/>
    <col min="4" max="4" width="18.5546875" customWidth="1"/>
    <col min="5" max="6" width="8.6640625" customWidth="1"/>
    <col min="7" max="7" width="18.33203125" customWidth="1"/>
    <col min="8" max="8" width="8.6640625" customWidth="1"/>
    <col min="9" max="9" width="22.88671875" customWidth="1"/>
    <col min="10" max="10" width="2.33203125" customWidth="1"/>
    <col min="11" max="11" width="18" customWidth="1"/>
    <col min="12" max="12" width="13" customWidth="1"/>
    <col min="13" max="14" width="12.109375" customWidth="1"/>
    <col min="15" max="15" width="19.5546875" customWidth="1"/>
    <col min="16" max="26" width="8.6640625" customWidth="1"/>
  </cols>
  <sheetData>
    <row r="1" spans="1:26" ht="14.2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4.25" customHeight="1">
      <c r="A2" s="65" t="s">
        <v>48</v>
      </c>
      <c r="B2" s="66"/>
      <c r="C2" s="67"/>
      <c r="D2" s="54" t="s">
        <v>3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27" customHeight="1">
      <c r="A3" s="68" t="s">
        <v>49</v>
      </c>
      <c r="B3" s="69"/>
      <c r="C3" s="69"/>
      <c r="D3" s="69"/>
      <c r="E3" s="69"/>
      <c r="F3" s="69"/>
      <c r="G3" s="70"/>
      <c r="H3" s="53"/>
      <c r="I3" s="71" t="s">
        <v>50</v>
      </c>
      <c r="J3" s="69"/>
      <c r="K3" s="69"/>
      <c r="L3" s="69"/>
      <c r="M3" s="69"/>
      <c r="N3" s="69"/>
      <c r="O3" s="70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" customHeight="1">
      <c r="A4" s="55"/>
      <c r="B4" s="55"/>
      <c r="C4" s="55"/>
      <c r="D4" s="56"/>
      <c r="E4" s="56"/>
      <c r="F4" s="56"/>
      <c r="G4" s="56"/>
      <c r="H4" s="53"/>
      <c r="I4" s="55"/>
      <c r="J4" s="55"/>
      <c r="K4" s="55"/>
      <c r="L4" s="56"/>
      <c r="M4" s="56"/>
      <c r="N4" s="56"/>
      <c r="O4" s="56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25.5" customHeight="1">
      <c r="A5" s="57" t="s">
        <v>51</v>
      </c>
      <c r="B5" s="55"/>
      <c r="C5" s="55"/>
      <c r="D5" s="56"/>
      <c r="E5" s="56"/>
      <c r="F5" s="56"/>
      <c r="G5" s="56"/>
      <c r="H5" s="53"/>
      <c r="I5" s="57" t="s">
        <v>52</v>
      </c>
      <c r="J5" s="55"/>
      <c r="K5" s="55"/>
      <c r="L5" s="56"/>
      <c r="M5" s="56"/>
      <c r="N5" s="56"/>
      <c r="O5" s="56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4.25" customHeight="1">
      <c r="A6" s="55"/>
      <c r="B6" s="55"/>
      <c r="C6" s="55"/>
      <c r="D6" s="56"/>
      <c r="E6" s="56"/>
      <c r="F6" s="56"/>
      <c r="G6" s="56"/>
      <c r="H6" s="53"/>
      <c r="I6" s="55"/>
      <c r="J6" s="55"/>
      <c r="K6" s="55"/>
      <c r="L6" s="56"/>
      <c r="M6" s="56"/>
      <c r="N6" s="56"/>
      <c r="O6" s="56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25.5" customHeight="1">
      <c r="A7" s="58">
        <f>SUM(DATA!C16:E16)</f>
        <v>2285000</v>
      </c>
      <c r="B7" s="55"/>
      <c r="C7" s="59" t="s">
        <v>53</v>
      </c>
      <c r="D7" s="56"/>
      <c r="E7" s="56"/>
      <c r="F7" s="56"/>
      <c r="G7" s="56"/>
      <c r="H7" s="53"/>
      <c r="I7" s="60">
        <f>SUM(DATA!R16:T16)</f>
        <v>301</v>
      </c>
      <c r="J7" s="55"/>
      <c r="K7" s="59" t="s">
        <v>54</v>
      </c>
      <c r="L7" s="56"/>
      <c r="M7" s="56"/>
      <c r="N7" s="56"/>
      <c r="O7" s="56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4.25" customHeight="1">
      <c r="A8" s="55"/>
      <c r="B8" s="55"/>
      <c r="C8" s="59"/>
      <c r="D8" s="56"/>
      <c r="E8" s="56"/>
      <c r="F8" s="56"/>
      <c r="G8" s="56"/>
      <c r="H8" s="53"/>
      <c r="I8" s="55"/>
      <c r="J8" s="55"/>
      <c r="K8" s="55"/>
      <c r="L8" s="56"/>
      <c r="M8" s="56"/>
      <c r="N8" s="56"/>
      <c r="O8" s="56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4.25" customHeight="1">
      <c r="A9" s="58">
        <f>SUM(DATA!F16:H16)</f>
        <v>2325000</v>
      </c>
      <c r="B9" s="55"/>
      <c r="C9" s="59" t="s">
        <v>55</v>
      </c>
      <c r="D9" s="56"/>
      <c r="E9" s="56"/>
      <c r="F9" s="56"/>
      <c r="G9" s="56"/>
      <c r="H9" s="53"/>
      <c r="I9" s="58">
        <f>SUM(DATA!O16:Q16)</f>
        <v>400</v>
      </c>
      <c r="J9" s="55"/>
      <c r="K9" s="59" t="s">
        <v>56</v>
      </c>
      <c r="L9" s="56"/>
      <c r="M9" s="56"/>
      <c r="N9" s="56"/>
      <c r="O9" s="56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4.25" customHeight="1">
      <c r="A10" s="55"/>
      <c r="B10" s="55"/>
      <c r="C10" s="59"/>
      <c r="D10" s="56"/>
      <c r="E10" s="56"/>
      <c r="F10" s="56"/>
      <c r="G10" s="56"/>
      <c r="H10" s="53"/>
      <c r="I10" s="55"/>
      <c r="J10" s="55"/>
      <c r="K10" s="59"/>
      <c r="L10" s="56"/>
      <c r="M10" s="56"/>
      <c r="N10" s="56"/>
      <c r="O10" s="56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4.25" customHeight="1">
      <c r="A11" s="61">
        <f>A7/A9</f>
        <v>0.98279569892473118</v>
      </c>
      <c r="B11" s="55"/>
      <c r="C11" s="59" t="s">
        <v>57</v>
      </c>
      <c r="D11" s="56"/>
      <c r="E11" s="56"/>
      <c r="F11" s="56"/>
      <c r="G11" s="56"/>
      <c r="H11" s="53"/>
      <c r="I11" s="61">
        <f>I7/I9</f>
        <v>0.75249999999999995</v>
      </c>
      <c r="J11" s="55"/>
      <c r="K11" s="59" t="s">
        <v>57</v>
      </c>
      <c r="L11" s="56"/>
      <c r="M11" s="56"/>
      <c r="N11" s="56"/>
      <c r="O11" s="56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4.25" customHeight="1">
      <c r="A12" s="56"/>
      <c r="B12" s="56"/>
      <c r="C12" s="62"/>
      <c r="D12" s="56"/>
      <c r="E12" s="56"/>
      <c r="F12" s="56"/>
      <c r="G12" s="56"/>
      <c r="H12" s="53"/>
      <c r="I12" s="56"/>
      <c r="J12" s="56"/>
      <c r="K12" s="56"/>
      <c r="L12" s="56"/>
      <c r="M12" s="56"/>
      <c r="N12" s="56"/>
      <c r="O12" s="56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4.25" customHeight="1">
      <c r="A13" s="56"/>
      <c r="B13" s="56"/>
      <c r="C13" s="56"/>
      <c r="D13" s="56"/>
      <c r="E13" s="56"/>
      <c r="F13" s="56"/>
      <c r="G13" s="56"/>
      <c r="H13" s="53"/>
      <c r="I13" s="56"/>
      <c r="J13" s="56"/>
      <c r="K13" s="56"/>
      <c r="L13" s="56"/>
      <c r="M13" s="56"/>
      <c r="N13" s="56"/>
      <c r="O13" s="56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4.25" customHeight="1">
      <c r="A14" s="56"/>
      <c r="B14" s="56"/>
      <c r="C14" s="56"/>
      <c r="D14" s="56"/>
      <c r="E14" s="56"/>
      <c r="F14" s="56"/>
      <c r="G14" s="56"/>
      <c r="H14" s="53"/>
      <c r="I14" s="56"/>
      <c r="J14" s="56"/>
      <c r="K14" s="56"/>
      <c r="L14" s="56"/>
      <c r="M14" s="56"/>
      <c r="N14" s="56"/>
      <c r="O14" s="56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4.25" customHeight="1">
      <c r="A15" s="56"/>
      <c r="B15" s="56"/>
      <c r="C15" s="56"/>
      <c r="D15" s="56"/>
      <c r="E15" s="56"/>
      <c r="F15" s="56"/>
      <c r="G15" s="56"/>
      <c r="H15" s="53"/>
      <c r="I15" s="56"/>
      <c r="J15" s="56"/>
      <c r="K15" s="56"/>
      <c r="L15" s="56"/>
      <c r="M15" s="56"/>
      <c r="N15" s="56"/>
      <c r="O15" s="56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35.25" customHeight="1">
      <c r="A16" s="56"/>
      <c r="B16" s="56"/>
      <c r="C16" s="56"/>
      <c r="D16" s="56"/>
      <c r="E16" s="56"/>
      <c r="F16" s="56"/>
      <c r="G16" s="56"/>
      <c r="H16" s="53"/>
      <c r="I16" s="56"/>
      <c r="J16" s="56"/>
      <c r="K16" s="56"/>
      <c r="L16" s="56"/>
      <c r="M16" s="56"/>
      <c r="N16" s="56"/>
      <c r="O16" s="56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4.2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4.25" customHeight="1">
      <c r="A18" s="72" t="s">
        <v>58</v>
      </c>
      <c r="B18" s="73"/>
      <c r="C18" s="73"/>
      <c r="D18" s="73"/>
      <c r="E18" s="73"/>
      <c r="F18" s="73"/>
      <c r="G18" s="74"/>
      <c r="H18" s="53"/>
      <c r="I18" s="78" t="s">
        <v>59</v>
      </c>
      <c r="J18" s="73"/>
      <c r="K18" s="73"/>
      <c r="L18" s="73"/>
      <c r="M18" s="73"/>
      <c r="N18" s="73"/>
      <c r="O18" s="74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4.25" customHeight="1">
      <c r="A19" s="75"/>
      <c r="B19" s="76"/>
      <c r="C19" s="76"/>
      <c r="D19" s="76"/>
      <c r="E19" s="76"/>
      <c r="F19" s="76"/>
      <c r="G19" s="77"/>
      <c r="H19" s="53"/>
      <c r="I19" s="75"/>
      <c r="J19" s="76"/>
      <c r="K19" s="76"/>
      <c r="L19" s="76"/>
      <c r="M19" s="76"/>
      <c r="N19" s="76"/>
      <c r="O19" s="77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4.25" customHeight="1">
      <c r="A20" s="55"/>
      <c r="B20" s="55"/>
      <c r="C20" s="55"/>
      <c r="D20" s="56"/>
      <c r="E20" s="56"/>
      <c r="F20" s="56"/>
      <c r="G20" s="56"/>
      <c r="H20" s="53"/>
      <c r="I20" s="55"/>
      <c r="J20" s="55"/>
      <c r="K20" s="55"/>
      <c r="L20" s="56"/>
      <c r="M20" s="56"/>
      <c r="N20" s="56"/>
      <c r="O20" s="56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36" customHeight="1">
      <c r="A21" s="63" t="s">
        <v>60</v>
      </c>
      <c r="B21" s="55"/>
      <c r="C21" s="55"/>
      <c r="D21" s="56"/>
      <c r="E21" s="56"/>
      <c r="F21" s="56"/>
      <c r="G21" s="56"/>
      <c r="H21" s="53"/>
      <c r="I21" s="64" t="s">
        <v>61</v>
      </c>
      <c r="J21" s="55"/>
      <c r="K21" s="55"/>
      <c r="L21" s="56"/>
      <c r="M21" s="56"/>
      <c r="N21" s="56"/>
      <c r="O21" s="56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4.25" customHeight="1">
      <c r="A22" s="55"/>
      <c r="B22" s="55"/>
      <c r="C22" s="55"/>
      <c r="D22" s="56"/>
      <c r="E22" s="56"/>
      <c r="F22" s="56"/>
      <c r="G22" s="56"/>
      <c r="H22" s="53"/>
      <c r="I22" s="55"/>
      <c r="J22" s="55"/>
      <c r="K22" s="55"/>
      <c r="L22" s="56"/>
      <c r="M22" s="56"/>
      <c r="N22" s="56"/>
      <c r="O22" s="56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4.25" customHeight="1">
      <c r="A23" s="58">
        <f>SUM(DATA!AJ16:AL16)/3</f>
        <v>2711.7666666666669</v>
      </c>
      <c r="B23" s="55"/>
      <c r="C23" s="59" t="s">
        <v>62</v>
      </c>
      <c r="D23" s="56"/>
      <c r="E23" s="56"/>
      <c r="F23" s="56"/>
      <c r="G23" s="56"/>
      <c r="H23" s="53"/>
      <c r="I23" s="58">
        <f>SUM(DATA!AA16:AC16)/3</f>
        <v>362.0453333333333</v>
      </c>
      <c r="J23" s="58"/>
      <c r="K23" s="59" t="s">
        <v>63</v>
      </c>
      <c r="L23" s="56"/>
      <c r="M23" s="56"/>
      <c r="N23" s="56"/>
      <c r="O23" s="5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4.25" customHeight="1">
      <c r="A24" s="55"/>
      <c r="B24" s="55"/>
      <c r="C24" s="59"/>
      <c r="D24" s="56"/>
      <c r="E24" s="56"/>
      <c r="F24" s="56"/>
      <c r="G24" s="56"/>
      <c r="H24" s="53"/>
      <c r="I24" s="58"/>
      <c r="J24" s="58"/>
      <c r="K24" s="59"/>
      <c r="L24" s="56"/>
      <c r="M24" s="56"/>
      <c r="N24" s="56"/>
      <c r="O24" s="5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4.25" customHeight="1">
      <c r="A25" s="58">
        <f>SUM(DATA!AP16:AR16)/3</f>
        <v>2333.3333333333335</v>
      </c>
      <c r="B25" s="55"/>
      <c r="C25" s="59" t="s">
        <v>64</v>
      </c>
      <c r="D25" s="56"/>
      <c r="E25" s="56"/>
      <c r="F25" s="56"/>
      <c r="G25" s="56"/>
      <c r="H25" s="53"/>
      <c r="I25" s="58">
        <f>SUM(DATA!AD16:AF16)/3</f>
        <v>383.33333333333331</v>
      </c>
      <c r="J25" s="58"/>
      <c r="K25" s="59" t="s">
        <v>65</v>
      </c>
      <c r="L25" s="56"/>
      <c r="M25" s="56"/>
      <c r="N25" s="56"/>
      <c r="O25" s="56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4.25" customHeight="1">
      <c r="A26" s="55"/>
      <c r="B26" s="55"/>
      <c r="C26" s="59"/>
      <c r="D26" s="56"/>
      <c r="E26" s="56"/>
      <c r="F26" s="56"/>
      <c r="G26" s="56"/>
      <c r="H26" s="53"/>
      <c r="I26" s="58"/>
      <c r="J26" s="58"/>
      <c r="K26" s="59"/>
      <c r="L26" s="56"/>
      <c r="M26" s="56"/>
      <c r="N26" s="56"/>
      <c r="O26" s="56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4.25" customHeight="1">
      <c r="A27" s="61">
        <f>A23/A25</f>
        <v>1.1621857142857144</v>
      </c>
      <c r="B27" s="55"/>
      <c r="C27" s="59" t="s">
        <v>57</v>
      </c>
      <c r="D27" s="56"/>
      <c r="E27" s="56"/>
      <c r="F27" s="56"/>
      <c r="G27" s="56"/>
      <c r="H27" s="53"/>
      <c r="I27" s="61">
        <f>I23/I25</f>
        <v>0.94446608695652168</v>
      </c>
      <c r="J27" s="58"/>
      <c r="K27" s="59" t="s">
        <v>57</v>
      </c>
      <c r="L27" s="56"/>
      <c r="M27" s="56"/>
      <c r="N27" s="56"/>
      <c r="O27" s="56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4.25" customHeight="1">
      <c r="A28" s="56"/>
      <c r="B28" s="56"/>
      <c r="C28" s="56"/>
      <c r="D28" s="56"/>
      <c r="E28" s="56"/>
      <c r="F28" s="56"/>
      <c r="G28" s="56"/>
      <c r="H28" s="53"/>
      <c r="I28" s="56"/>
      <c r="J28" s="56"/>
      <c r="K28" s="56"/>
      <c r="L28" s="56"/>
      <c r="M28" s="56"/>
      <c r="N28" s="56"/>
      <c r="O28" s="56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4.25" customHeight="1">
      <c r="A29" s="56"/>
      <c r="B29" s="56"/>
      <c r="C29" s="56"/>
      <c r="D29" s="56"/>
      <c r="E29" s="56"/>
      <c r="F29" s="56"/>
      <c r="G29" s="56"/>
      <c r="H29" s="53"/>
      <c r="I29" s="56"/>
      <c r="J29" s="56"/>
      <c r="K29" s="56"/>
      <c r="L29" s="56"/>
      <c r="M29" s="56"/>
      <c r="N29" s="56"/>
      <c r="O29" s="56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4.25" customHeight="1">
      <c r="A30" s="56"/>
      <c r="B30" s="56"/>
      <c r="C30" s="56"/>
      <c r="D30" s="56"/>
      <c r="E30" s="56"/>
      <c r="F30" s="56"/>
      <c r="G30" s="56"/>
      <c r="H30" s="53"/>
      <c r="I30" s="56"/>
      <c r="J30" s="56"/>
      <c r="K30" s="56"/>
      <c r="L30" s="56"/>
      <c r="M30" s="56"/>
      <c r="N30" s="56"/>
      <c r="O30" s="56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4.25" customHeight="1">
      <c r="A31" s="56"/>
      <c r="B31" s="56"/>
      <c r="C31" s="56"/>
      <c r="D31" s="56"/>
      <c r="E31" s="56"/>
      <c r="F31" s="56"/>
      <c r="G31" s="56"/>
      <c r="H31" s="53"/>
      <c r="I31" s="56"/>
      <c r="J31" s="56"/>
      <c r="K31" s="56"/>
      <c r="L31" s="56"/>
      <c r="M31" s="56"/>
      <c r="N31" s="56"/>
      <c r="O31" s="56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53.25" customHeight="1">
      <c r="A32" s="56"/>
      <c r="B32" s="56"/>
      <c r="C32" s="56"/>
      <c r="D32" s="56"/>
      <c r="E32" s="56"/>
      <c r="F32" s="56"/>
      <c r="G32" s="56"/>
      <c r="H32" s="53"/>
      <c r="I32" s="56"/>
      <c r="J32" s="56"/>
      <c r="K32" s="56"/>
      <c r="L32" s="56"/>
      <c r="M32" s="56"/>
      <c r="N32" s="56"/>
      <c r="O32" s="56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4.2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4.2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4.2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4.2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4.2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4.2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4.2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4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4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4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4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4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4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4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4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4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4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4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4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4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4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4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4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4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4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4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4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4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4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4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4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4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4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4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4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4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4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4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4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4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4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4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4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4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4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4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4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4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4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4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4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4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4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4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4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4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4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4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4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4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4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4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4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4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4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4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4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4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4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4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4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4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4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4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4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4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4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4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4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4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4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4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4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4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4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4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4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4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4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4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4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4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4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4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4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4.2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4.2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4.2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4.2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4.2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4.2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4.2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4.2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4.2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4.2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4.2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4.2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4.2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4.2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4.2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4.2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4.2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4.2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4.2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4.2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4.2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4.2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4.2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4.2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4.2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4.2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4.2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4.2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4.2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4.2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4.2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4.2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4.2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4.2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4.2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4.2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4.2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4.2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4.2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4.2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4.2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4.2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4.2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4.2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4.2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4.2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4.2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4.2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4.2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4.2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4.2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4.2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4.2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4.2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4.2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4.2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4.2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4.2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4.2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4.2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4.2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4.2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4.2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4.2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4.2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4.2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4.2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4.2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4.2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4.2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4.2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4.2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4.2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4.2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4.2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4.2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4.2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4.2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4.2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4.2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4.2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4.2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4.2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4.2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4.2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4.2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4.2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4.2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4.2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4.2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4.2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4.2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4.2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4.2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4.2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4.2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4.2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4.2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4.2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4.2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4.2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4.2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4.2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4.2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4.2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4.2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4.2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4.2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4.2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4.2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4.2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4.2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4.2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4.2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4.2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4.2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4.2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4.2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4.2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4.2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4.2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4.2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4.2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4.2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4.2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4.2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4.2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4.2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4.2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4.2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4.2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4.2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4.2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4.2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4.2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4.2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4.2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4.2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4.2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4.2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4.2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4.2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4.2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4.2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4.2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4.2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4.2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4.2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4.2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4.2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4.2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4.2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4.2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4.2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4.2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4.2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4.2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4.2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4.2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4.2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4.2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4.2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4.2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4.2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4.2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4.2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4.2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4.2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4.2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4.2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4.2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4.2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4.2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4.2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4.2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4.2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4.2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4.2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4.2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4.2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4.2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4.2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4.2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4.2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4.2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4.2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4.2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4.2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4.2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4.2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4.2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4.2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4.2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4.2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4.2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4.2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4.2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4.2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4.2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4.2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4.2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4.2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4.2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4.2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4.2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4.2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4.2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4.2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4.2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4.2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4.2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4.2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4.2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4.2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4.2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4.2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4.2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4.2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4.2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4.2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4.2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4.2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4.2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4.2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4.2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4.2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4.2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4.2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4.2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4.2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4.2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4.2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4.2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4.2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4.2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4.2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4.2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4.2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4.2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4.2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4.2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4.2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4.2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4.2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4.2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4.2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4.2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4.2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4.2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4.2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4.2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4.2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4.2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4.2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4.2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4.2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4.2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4.2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4.2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4.2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4.2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4.2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4.2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4.2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4.2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4.2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4.2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4.2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4.2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4.2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4.2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4.2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4.2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4.2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4.2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4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4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4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4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4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4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4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4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4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4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4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4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4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4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4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4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4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4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4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4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4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4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4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4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4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4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4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4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4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4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4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4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4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4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4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4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4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4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4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4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4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4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4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4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4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4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4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4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4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4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4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4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4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4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4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4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4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4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4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4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4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4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4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4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4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4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4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4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4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4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4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4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4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4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4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4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4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4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4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4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4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4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4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4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4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4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4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4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4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4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4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4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4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4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4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4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4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4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4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4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4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4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4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4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4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4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4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4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4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4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4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4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4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4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4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4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4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4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4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4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4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4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4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4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4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4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4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4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4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4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4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4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4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4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4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4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4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4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4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4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4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4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4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4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4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4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4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4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4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4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4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4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4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4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4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4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4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4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4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4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4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4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4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4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4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4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4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4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4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4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4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4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4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4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4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4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4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4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4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4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4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4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4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4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4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4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4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4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4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4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4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4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4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4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4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4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4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4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4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4.2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4.2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4.2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4.2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4.2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4.2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4.2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4.2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4.2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4.2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4.2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4.2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4.2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4.2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4.2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4.2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4.2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4.2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4.2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4.2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4.2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4.2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4.2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4.2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4.2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4.2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4.2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4.2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4.2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4.2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4.2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4.2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4.2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4.2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4.2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4.2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4.2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4.2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4.2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4.2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4.2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4.2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4.2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4.2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4.2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4.2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4.2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4.2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4.2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4.2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4.2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4.2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4.2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4.2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4.2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4.2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4.2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4.2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4.2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4.2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4.2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4.2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4.2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4.2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4.2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4.2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4.2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4.2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4.2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4.2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4.2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4.2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4.2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4.2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4.2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4.2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4.2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4.2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4.2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4.2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4.2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4.2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4.2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4.2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4.2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4.2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4.2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4.2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4.2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4.2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4.2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4.2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4.2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4.2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4.2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4.2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4.2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4.2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4.2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4.2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4.2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4.2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4.2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4.2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4.2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4.2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4.2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4.2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4.2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4.2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4.2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4.2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4.2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4.2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4.2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4.2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4.2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4.2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4.2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4.2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4.2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4.2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4.2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4.2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4.2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4.2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4.2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4.2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4.2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4.2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4.2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4.2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4.2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4.2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4.2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4.2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4.2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4.2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4.2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4.2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4.2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4.2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4.2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4.2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4.2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4.2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4.2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4.2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4.2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4.2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4.2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4.2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4.2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4.2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4.2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4.2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4.2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4.2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4.2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4.2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4.2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4.2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4.2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4.2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4.2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4.2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4.2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4.2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4.2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4.2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4.2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4.2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4.2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4.2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4.2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4.2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4.2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4.2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4.2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4.2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4.2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4.2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4.2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4.2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4.2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4.2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4.2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4.2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4.2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4.2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4.2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4.2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4.2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4.2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4.2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4.2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4.2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4.2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4.2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4.2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4.2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4.2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4.2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4.2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4.2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4.2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4.2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4.2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4.2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4.2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4.2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4.2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4.2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4.2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4.2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4.2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4.2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4.2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4.2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4.2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4.2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4.2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4.2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4.2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4.2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4.2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4.2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4.2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4.2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4.2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4.2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4.2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4.2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4.2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4.2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4.2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4.2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4.2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4.2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4.2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4.2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4.2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4.2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4.2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4.2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4.2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4.2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4.2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4.2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4.2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4.2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4.2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4.2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4.2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4.2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4.2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4.2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4.2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4.2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4.2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4.2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4.2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4.2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4.2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4.2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4.2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4.2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4.2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4.2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4.2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4.2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4.2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4.2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4.2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4.2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4.2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4.2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4.2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4.2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4.2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4.2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4.2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4.2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4.2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4.2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4.2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4.2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4.2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4.2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4.2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4.2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4.2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4.2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4.2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4.2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4.2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4.2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4.2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4.2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4.2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4.2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4.2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4.2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4.2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4.2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4.2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4.2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4.2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4.2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4.2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4.2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4.2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4.2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4.2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4.2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4.2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4.2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4.2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4.2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4.2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4.2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4.2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4.2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4.2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4.2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4.2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4.2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4.2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4.2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4.2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4.2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4.2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4.2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4.2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4.2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4.2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4.2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4.2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4.2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4.2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4.2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4.2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4.2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4.2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4.2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4.2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4.2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4.2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4.2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4.2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4.2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4.2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4.2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4.2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4.2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4.2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4.2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4.2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4.2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4.2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4.2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4.2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4.2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4.2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4.2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4.2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4.2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4.2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4.2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4.2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4.2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4.2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4.2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4.2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4.2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4.2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4.2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4.2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4.2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4.2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4.2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4.2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4.2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4.2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4.2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4.2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4.2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4.2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4.2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4.2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4.2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4.2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4.2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4.2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5">
    <mergeCell ref="A2:C2"/>
    <mergeCell ref="A3:G3"/>
    <mergeCell ref="I3:O3"/>
    <mergeCell ref="A18:G19"/>
    <mergeCell ref="I18:O19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DATA!$H$1:$H$4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ADNAN ANSARI</cp:lastModifiedBy>
  <dcterms:created xsi:type="dcterms:W3CDTF">2015-06-05T18:17:20Z</dcterms:created>
  <dcterms:modified xsi:type="dcterms:W3CDTF">2026-03-23T10:37:07Z</dcterms:modified>
</cp:coreProperties>
</file>